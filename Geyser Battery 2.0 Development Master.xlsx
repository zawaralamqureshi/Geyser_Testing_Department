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te\Desktop\"/>
    </mc:Choice>
  </mc:AlternateContent>
  <xr:revisionPtr revIDLastSave="0" documentId="13_ncr:1_{939B2069-83F6-4567-B305-15FC7300C626}" xr6:coauthVersionLast="47" xr6:coauthVersionMax="47" xr10:uidLastSave="{00000000-0000-0000-0000-000000000000}"/>
  <bookViews>
    <workbookView xWindow="-110" yWindow="-110" windowWidth="19420" windowHeight="11500" firstSheet="2" activeTab="3" xr2:uid="{027F7883-6708-46F1-A51B-18A6B87CF30D}"/>
  </bookViews>
  <sheets>
    <sheet name="Assumptions and Targets" sheetId="1" state="hidden" r:id="rId1"/>
    <sheet name="Process Flow, CurrentDetailed" sheetId="3" r:id="rId2"/>
    <sheet name="Process Flow, Current" sheetId="8" r:id="rId3"/>
    <sheet name="Geyser Battery 2.0 Process Flow" sheetId="7" r:id="rId4"/>
    <sheet name="Cell BOM Current" sheetId="6" r:id="rId5"/>
  </sheets>
  <definedNames>
    <definedName name="_xlnm._FilterDatabase" localSheetId="4" hidden="1">'Cell BOM Current'!$A$1:$L$19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C93" i="1"/>
  <c r="D93" i="1"/>
  <c r="E93" i="1"/>
  <c r="C94" i="1"/>
  <c r="D94" i="1"/>
  <c r="E94" i="1" s="1"/>
  <c r="C95" i="1"/>
  <c r="D95" i="1"/>
  <c r="E95" i="1"/>
  <c r="C96" i="1"/>
  <c r="D96" i="1"/>
  <c r="E96" i="1"/>
  <c r="C97" i="1"/>
  <c r="D97" i="1"/>
  <c r="E97" i="1"/>
  <c r="C98" i="1"/>
  <c r="D98" i="1"/>
  <c r="E98" i="1"/>
  <c r="C99" i="1"/>
  <c r="D99" i="1" s="1"/>
  <c r="E99" i="1" s="1"/>
  <c r="C100" i="1"/>
  <c r="D100" i="1"/>
  <c r="E100" i="1"/>
  <c r="C101" i="1"/>
  <c r="D101" i="1"/>
  <c r="E101" i="1"/>
  <c r="C102" i="1"/>
  <c r="D102" i="1"/>
  <c r="E102" i="1"/>
  <c r="F10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22" i="1"/>
  <c r="C91" i="1"/>
  <c r="D91" i="1"/>
  <c r="C92" i="1"/>
  <c r="D92" i="1" s="1"/>
  <c r="C68" i="1"/>
  <c r="D68" i="1"/>
  <c r="C69" i="1"/>
  <c r="D69" i="1"/>
  <c r="C70" i="1"/>
  <c r="D70" i="1" s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 s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 s="1"/>
  <c r="C85" i="1"/>
  <c r="D85" i="1"/>
  <c r="C86" i="1"/>
  <c r="D86" i="1"/>
  <c r="C87" i="1"/>
  <c r="D87" i="1"/>
  <c r="C88" i="1"/>
  <c r="D88" i="1"/>
  <c r="C89" i="1"/>
  <c r="D89" i="1"/>
  <c r="C90" i="1"/>
  <c r="D90" i="1"/>
  <c r="C32" i="1"/>
  <c r="D32" i="1"/>
  <c r="C33" i="1"/>
  <c r="D33" i="1"/>
  <c r="C34" i="1"/>
  <c r="D34" i="1" s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 s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 s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 s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 s="1"/>
  <c r="C63" i="1"/>
  <c r="D63" i="1"/>
  <c r="C64" i="1"/>
  <c r="D64" i="1"/>
  <c r="C65" i="1"/>
  <c r="D65" i="1"/>
  <c r="C66" i="1"/>
  <c r="D66" i="1"/>
  <c r="C67" i="1"/>
  <c r="D67" i="1"/>
  <c r="D23" i="1"/>
  <c r="D25" i="1"/>
  <c r="D22" i="1"/>
  <c r="C23" i="1"/>
  <c r="C25" i="1"/>
  <c r="C26" i="1"/>
  <c r="D26" i="1" s="1"/>
  <c r="C28" i="1"/>
  <c r="D28" i="1" s="1"/>
  <c r="C31" i="1"/>
  <c r="D31" i="1" s="1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D12" i="1"/>
  <c r="C12" i="1"/>
  <c r="D11" i="1"/>
  <c r="D10" i="1"/>
  <c r="D9" i="1"/>
  <c r="D17" i="1" s="1"/>
  <c r="D3" i="1"/>
  <c r="D2" i="1"/>
  <c r="D4" i="1" s="1"/>
  <c r="C9" i="1"/>
  <c r="C17" i="1" s="1"/>
  <c r="C8" i="1"/>
  <c r="C16" i="1" s="1"/>
  <c r="C4" i="1"/>
  <c r="C22" i="1" s="1"/>
  <c r="C15" i="1"/>
  <c r="D15" i="1" s="1"/>
  <c r="C14" i="1"/>
  <c r="D14" i="1" s="1"/>
  <c r="B4" i="1"/>
  <c r="B11" i="1"/>
  <c r="B15" i="1" s="1"/>
  <c r="B10" i="1"/>
  <c r="B14" i="1" s="1"/>
  <c r="B9" i="1"/>
  <c r="B17" i="1" s="1"/>
  <c r="B8" i="1"/>
  <c r="B16" i="1" s="1"/>
  <c r="B13" i="1"/>
  <c r="C13" i="1" s="1"/>
  <c r="D13" i="1" s="1"/>
  <c r="C29" i="1" l="1"/>
  <c r="D29" i="1" s="1"/>
  <c r="C27" i="1"/>
  <c r="D27" i="1" s="1"/>
  <c r="C30" i="1"/>
  <c r="D30" i="1" s="1"/>
  <c r="C10" i="1"/>
  <c r="C11" i="1"/>
  <c r="D8" i="1"/>
  <c r="D16" i="1" s="1"/>
  <c r="C24" i="1"/>
  <c r="D24" i="1" s="1"/>
</calcChain>
</file>

<file path=xl/sharedStrings.xml><?xml version="1.0" encoding="utf-8"?>
<sst xmlns="http://schemas.openxmlformats.org/spreadsheetml/2006/main" count="293" uniqueCount="205">
  <si>
    <t>Voltage/cell</t>
  </si>
  <si>
    <t>Number of cells, s</t>
  </si>
  <si>
    <t>Number of strings, p</t>
  </si>
  <si>
    <t>Cell ESR, 10 ms, mOhms</t>
  </si>
  <si>
    <t>Cell ESR, 1 s, mOhms</t>
  </si>
  <si>
    <t>Cell stored E, Wh</t>
  </si>
  <si>
    <t>Cell usable E, Wh</t>
  </si>
  <si>
    <t>Cell weight, kg</t>
  </si>
  <si>
    <t>Module Voltage, V</t>
  </si>
  <si>
    <t>Module stored E, Wh</t>
  </si>
  <si>
    <t>Module usable E, Wh</t>
  </si>
  <si>
    <t>Module ESR, 10 ms, mOhms</t>
  </si>
  <si>
    <t>Module ESR, 1 s, mOhms</t>
  </si>
  <si>
    <t>173 caliber</t>
  </si>
  <si>
    <t>Assumptions</t>
  </si>
  <si>
    <t>Geyser 2.0 needs to provide 3x energy per cell to use 1 string</t>
  </si>
  <si>
    <t>Assuming E/area is constant, then area needs to be 3x of 173 caliber</t>
  </si>
  <si>
    <t>Active area length, cell, mm</t>
  </si>
  <si>
    <t>Active area width, cell, mm</t>
  </si>
  <si>
    <t>Active area, cell, mm2</t>
  </si>
  <si>
    <t>Total resistance = Sheet resistance * (current path length/current path width)</t>
  </si>
  <si>
    <t>Keeping same L/W will keep same R</t>
  </si>
  <si>
    <t>Total R needs to drop 3x</t>
  </si>
  <si>
    <t>Geyser 2.0,
Constant ratio</t>
  </si>
  <si>
    <t>Geyser 2.0,
3x Width</t>
  </si>
  <si>
    <t>Geyser 2.0 Constant Ratio assumes all improvements to resistance come from materials and construction</t>
  </si>
  <si>
    <t>Geyser 2.0 3x width assumes all improvements to resistance come from increasing current path width</t>
  </si>
  <si>
    <t>Reporting</t>
  </si>
  <si>
    <t>Comments</t>
  </si>
  <si>
    <t>Request for Production</t>
  </si>
  <si>
    <t>Electrolyte preparation</t>
  </si>
  <si>
    <t>Slurry mixing</t>
  </si>
  <si>
    <t>Slurry coating negative</t>
  </si>
  <si>
    <t>-_m</t>
  </si>
  <si>
    <t>Purpose of tissue paper is unclear. Also, why changed from 7 to 14 layers?</t>
  </si>
  <si>
    <t>Slurry coating positive</t>
  </si>
  <si>
    <t>+_m</t>
  </si>
  <si>
    <t>Purpose of tissue paper is unclear. Also, why changed from 7 to 14 layers?
Why change pressure 5.5 --&gt; 6? Why 30 min vs 10 min?</t>
  </si>
  <si>
    <t>Cell assembly</t>
  </si>
  <si>
    <t>index
minus
plus
cell_ratio
average_ratio?
Deviation_%?</t>
  </si>
  <si>
    <t>Sealing</t>
  </si>
  <si>
    <t>cell_mass</t>
  </si>
  <si>
    <t>Stack reassembly:
Glass fiber - (Silicon - plastic sheet - cell - plastic sheet - silicon) *n - glass fiber</t>
  </si>
  <si>
    <t>Preparation for testing</t>
  </si>
  <si>
    <t>Resistance</t>
  </si>
  <si>
    <t>Process</t>
  </si>
  <si>
    <t>Step</t>
  </si>
  <si>
    <t xml:space="preserve">1. Slurry (PBX 51)--&gt; Ultrasonic bath
</t>
  </si>
  <si>
    <t>4. Build stack</t>
  </si>
  <si>
    <t>Timer</t>
  </si>
  <si>
    <t>Control</t>
  </si>
  <si>
    <t>Tooling</t>
  </si>
  <si>
    <t>Hydraulic press</t>
  </si>
  <si>
    <t>Hydraulic press
Timer?</t>
  </si>
  <si>
    <t xml:space="preserve">1. Slurry (YP80) --&gt; Ultrasonic bath
</t>
  </si>
  <si>
    <t>5. Pressurise stack 6 units 30 minutes</t>
  </si>
  <si>
    <t>Doctor blade
Scale</t>
  </si>
  <si>
    <t>p = 6 units
t = 30 min</t>
  </si>
  <si>
    <t>2. Disassemble stack</t>
  </si>
  <si>
    <t>3. Calculate best mass ratios</t>
  </si>
  <si>
    <t>4. Add separator to negative electrode</t>
  </si>
  <si>
    <t>5. Add electrolyte</t>
  </si>
  <si>
    <t>6. Add positive electrode to separator</t>
  </si>
  <si>
    <t>7. Press for 10 seconds with a pressing tool</t>
  </si>
  <si>
    <t>8. Stack the cells</t>
  </si>
  <si>
    <t>10. Flip stack on side, let excess electrolyte drop out</t>
  </si>
  <si>
    <t>1. Depressurize stack</t>
  </si>
  <si>
    <t>Syringe</t>
  </si>
  <si>
    <t>Min 2 drops, Max undefined</t>
  </si>
  <si>
    <t>Pressing tool</t>
  </si>
  <si>
    <t>Metal clamp</t>
  </si>
  <si>
    <t>p_min = 4.1 units
p_max = 4.5 units</t>
  </si>
  <si>
    <t>2. Sealant application</t>
  </si>
  <si>
    <t>3. Invert stack to original position</t>
  </si>
  <si>
    <t>4. Depressurise stack</t>
  </si>
  <si>
    <t>5. Disassemble stack</t>
  </si>
  <si>
    <t>6. Reassemble stack</t>
  </si>
  <si>
    <t>8. Sealant drying</t>
  </si>
  <si>
    <t>9. Depressurize stack</t>
  </si>
  <si>
    <t>10. Disassemble stack</t>
  </si>
  <si>
    <t>11. Cut sealant edges</t>
  </si>
  <si>
    <t>12. Measure cell weight</t>
  </si>
  <si>
    <t>p_min = 0.5 units
p_max = 1 unit</t>
  </si>
  <si>
    <t>Scalpel</t>
  </si>
  <si>
    <t>Scale</t>
  </si>
  <si>
    <t>2. Add copper foil on both sides of cell</t>
  </si>
  <si>
    <t>3. Stack cells in Al-clamp</t>
  </si>
  <si>
    <t>4. Pressurize</t>
  </si>
  <si>
    <t>5. Resistance check</t>
  </si>
  <si>
    <t>p = 2 units</t>
  </si>
  <si>
    <t>AT526 Siglent Resistance meter</t>
  </si>
  <si>
    <t>Raw materials</t>
  </si>
  <si>
    <t>2. Slurry application to carbon conductive film</t>
  </si>
  <si>
    <t>Z-flo 2267</t>
  </si>
  <si>
    <t>2. Slurry applied to carbon conductive film</t>
  </si>
  <si>
    <t>Celgard 3501</t>
  </si>
  <si>
    <t>SGL Carbon SIGRATHERM</t>
  </si>
  <si>
    <t>1. Add graphite foil  on both sides of cell</t>
  </si>
  <si>
    <t>Resin M19</t>
  </si>
  <si>
    <t>p = 6 units
t = 10 min</t>
  </si>
  <si>
    <t>5. Pressurise stack</t>
  </si>
  <si>
    <t>14 x Filter paper</t>
  </si>
  <si>
    <t>3. Add filter paper</t>
  </si>
  <si>
    <t>7 x Filter paper</t>
  </si>
  <si>
    <t>t = 10 s</t>
  </si>
  <si>
    <t>9. Apply pressure</t>
  </si>
  <si>
    <t>Ethanol
Filter paper</t>
  </si>
  <si>
    <t xml:space="preserve">1. Cell cleaning
</t>
  </si>
  <si>
    <t>7. Apply pressure</t>
  </si>
  <si>
    <t>Item #</t>
  </si>
  <si>
    <t>Part / Description</t>
  </si>
  <si>
    <t>Category</t>
  </si>
  <si>
    <t>Spec / Material</t>
  </si>
  <si>
    <t>Qty / Cell</t>
  </si>
  <si>
    <t>Unit</t>
  </si>
  <si>
    <t>Make/Buy</t>
  </si>
  <si>
    <t>Supplier</t>
  </si>
  <si>
    <t>Unit Cost</t>
  </si>
  <si>
    <t>Total cost</t>
  </si>
  <si>
    <t>Notes</t>
  </si>
  <si>
    <t>Source URL</t>
  </si>
  <si>
    <t>Cell curent collector</t>
  </si>
  <si>
    <t>Cell</t>
  </si>
  <si>
    <t xml:space="preserve">Carbon Conductive Film z-flo® 2267, thickness: 60 µm ± 5 µm, 140*160mm </t>
  </si>
  <si>
    <t>pcs</t>
  </si>
  <si>
    <t>Buy</t>
  </si>
  <si>
    <t/>
  </si>
  <si>
    <t>Separator</t>
  </si>
  <si>
    <t>Celgard 3501, PP, thickness: 25 µm ± 1 µm, 150*130mm</t>
  </si>
  <si>
    <t>Active carbon</t>
  </si>
  <si>
    <t>Сell</t>
  </si>
  <si>
    <t>Activated carbon: YP-80/YP-80F</t>
  </si>
  <si>
    <t>g</t>
  </si>
  <si>
    <t>Carbon black</t>
  </si>
  <si>
    <t>Carbon black: PBX51</t>
  </si>
  <si>
    <t>Salt (NaBr)</t>
  </si>
  <si>
    <t>NaBr</t>
  </si>
  <si>
    <t>Electrolyte</t>
  </si>
  <si>
    <t>Salt (ZnBr2)</t>
  </si>
  <si>
    <t>ZnBr2</t>
  </si>
  <si>
    <t>Salt (CaBr2)</t>
  </si>
  <si>
    <t>CaBr2</t>
  </si>
  <si>
    <t>Acid</t>
  </si>
  <si>
    <t>HClO4</t>
  </si>
  <si>
    <t>Water(distilled water)</t>
  </si>
  <si>
    <t>Н2О</t>
  </si>
  <si>
    <t>Glue</t>
  </si>
  <si>
    <t>Resin, M19</t>
  </si>
  <si>
    <t>Conductive plastic</t>
  </si>
  <si>
    <t>SGL Carbon SIGRATHERM® , 160*140, GF 250µm</t>
  </si>
  <si>
    <t>Filtering paper</t>
  </si>
  <si>
    <t>Testing(1500*200mm)</t>
  </si>
  <si>
    <t>m</t>
  </si>
  <si>
    <t>Testing</t>
  </si>
  <si>
    <t>Dosing(3000*200mm)</t>
  </si>
  <si>
    <t>Dosing</t>
  </si>
  <si>
    <t>Alcohol</t>
  </si>
  <si>
    <t>Assembly consumables(cleaning)</t>
  </si>
  <si>
    <t>ml</t>
  </si>
  <si>
    <t>Labeling(markers)</t>
  </si>
  <si>
    <t>Label</t>
  </si>
  <si>
    <t>Traceability</t>
  </si>
  <si>
    <t>Masking tape 50m*50mm</t>
  </si>
  <si>
    <t>Assembly consumables</t>
  </si>
  <si>
    <t>Masking tape 50m*25mm</t>
  </si>
  <si>
    <t>TOTAL</t>
  </si>
  <si>
    <t>Generalized</t>
  </si>
  <si>
    <t>10 ms ESR,
mOhms</t>
  </si>
  <si>
    <t>Width,
mm</t>
  </si>
  <si>
    <t>Length,
mm</t>
  </si>
  <si>
    <t>10 ms ESR w/ 30% improvement,
mOhms</t>
  </si>
  <si>
    <t>Maximum deviation of electrode mass saturation &lt;3% - How?
silicon - (Cell - plastic)x6 - silicon - (Cell - plastic) x6 - silicon - glass fiber</t>
  </si>
  <si>
    <t>Receive work order</t>
  </si>
  <si>
    <t>NaBr
CaBr2
ZnBr2
Distilled water</t>
  </si>
  <si>
    <t>Scales</t>
  </si>
  <si>
    <t>w_NaBr = 18%
w_CaBr2 = 18%
w_ZnBr2 = 16%</t>
  </si>
  <si>
    <t>w_HClO4 = 3%</t>
  </si>
  <si>
    <t>2. Add HClO4 (60% concentration)</t>
  </si>
  <si>
    <t>HClO4 (60% concentration)</t>
  </si>
  <si>
    <t>3. Cooling</t>
  </si>
  <si>
    <t>t = 1-1.5 h</t>
  </si>
  <si>
    <t>4. Temperature check</t>
  </si>
  <si>
    <t>Thermometer</t>
  </si>
  <si>
    <t>T = 20-23 C</t>
  </si>
  <si>
    <t>5. Density check</t>
  </si>
  <si>
    <t>Areometer</t>
  </si>
  <si>
    <t>d_w/o HClO4 = 1.610 - 1.615 g/cm3
d_w/ HClO4 = 1.650-1.655 g/cm3</t>
  </si>
  <si>
    <t>6. pH check</t>
  </si>
  <si>
    <t>pH paper</t>
  </si>
  <si>
    <t>pH_w/o HClO4 = 3-4
pH_w/ HClO4 = 1</t>
  </si>
  <si>
    <t>7. Filtering</t>
  </si>
  <si>
    <t>Filter paper</t>
  </si>
  <si>
    <t>1. Weigh electrolyte into jars</t>
  </si>
  <si>
    <t>1:7.1 PBX:electrolyte
1:6.2 YP80:electrolyte</t>
  </si>
  <si>
    <t>2. Weigh carbon</t>
  </si>
  <si>
    <t>3. Mixing</t>
  </si>
  <si>
    <t>Mixing machine</t>
  </si>
  <si>
    <t>t = 40 min - 1 h</t>
  </si>
  <si>
    <t>t_high speed = 15 min
t_low speed = 15 min</t>
  </si>
  <si>
    <t>Conductivity measurement?</t>
  </si>
  <si>
    <t>Viscosimeter?
Rheometer?</t>
  </si>
  <si>
    <t>Visual check on mixing
Improvement on current "high tech" machine</t>
  </si>
  <si>
    <t>HBr_40% (Only w/o HClO4)</t>
  </si>
  <si>
    <t>1. Salt weighing with water</t>
  </si>
  <si>
    <t>PBX; YP80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</si>
</sst>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[$$-409]#,##0.00;[Red]\([$$$-409]#,##0.00\);&quot;-&quot;"/>
    <numFmt numFmtId="167" formatCode="[$$-409]#,##0.000;[Red]\([$$$-409]#,##0.000\);&quot;-&quot;"/>
    <numFmt numFmtId="168" formatCode="[$$-409]#,##0.0000;[Red]\([$$$-409]#,##0.0000\);&quot;-&quot;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9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0" fontId="0" fillId="0" borderId="0" xfId="0" quotePrefix="1"/>
    <xf numFmtId="0" fontId="2" fillId="0" borderId="0" xfId="0" applyFont="1"/>
    <xf numFmtId="0" fontId="0" fillId="2" borderId="0" xfId="0" applyFill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1" xfId="0" quotePrefix="1" applyBorder="1"/>
    <xf numFmtId="0" fontId="0" fillId="0" borderId="1" xfId="0" applyBorder="1"/>
    <xf numFmtId="0" fontId="3" fillId="3" borderId="2" xfId="1" applyFont="1" applyFill="1" applyBorder="1" applyAlignment="1">
      <alignment horizontal="center" vertical="center" wrapText="1"/>
    </xf>
    <xf numFmtId="0" fontId="0" fillId="0" borderId="2" xfId="1" applyFont="1" applyBorder="1" applyAlignment="1">
      <alignment vertical="center" wrapText="1"/>
    </xf>
    <xf numFmtId="1" fontId="0" fillId="0" borderId="2" xfId="1" applyNumberFormat="1" applyFont="1" applyBorder="1" applyAlignment="1">
      <alignment vertical="center" wrapText="1"/>
    </xf>
    <xf numFmtId="166" fontId="0" fillId="0" borderId="2" xfId="1" applyNumberFormat="1" applyFont="1" applyBorder="1" applyAlignment="1">
      <alignment vertical="center" wrapText="1"/>
    </xf>
    <xf numFmtId="167" fontId="0" fillId="0" borderId="2" xfId="1" applyNumberFormat="1" applyFont="1" applyBorder="1" applyAlignment="1">
      <alignment vertical="center" wrapText="1"/>
    </xf>
    <xf numFmtId="2" fontId="0" fillId="0" borderId="2" xfId="1" applyNumberFormat="1" applyFont="1" applyBorder="1" applyAlignment="1">
      <alignment vertical="center" wrapText="1"/>
    </xf>
    <xf numFmtId="164" fontId="0" fillId="0" borderId="2" xfId="1" applyNumberFormat="1" applyFont="1" applyBorder="1" applyAlignment="1">
      <alignment vertical="center" wrapText="1"/>
    </xf>
    <xf numFmtId="0" fontId="0" fillId="0" borderId="0" xfId="0" applyAlignment="1">
      <alignment vertical="center"/>
    </xf>
    <xf numFmtId="168" fontId="0" fillId="0" borderId="2" xfId="1" applyNumberFormat="1" applyFont="1" applyBorder="1" applyAlignment="1">
      <alignment vertical="center" wrapText="1"/>
    </xf>
    <xf numFmtId="0" fontId="0" fillId="0" borderId="0" xfId="0" applyAlignment="1">
      <alignment vertical="center" wrapText="1"/>
    </xf>
    <xf numFmtId="165" fontId="0" fillId="0" borderId="2" xfId="1" applyNumberFormat="1" applyFont="1" applyBorder="1" applyAlignment="1">
      <alignment vertical="center" wrapText="1"/>
    </xf>
    <xf numFmtId="0" fontId="4" fillId="4" borderId="2" xfId="1" applyFont="1" applyFill="1" applyBorder="1" applyAlignment="1">
      <alignment horizontal="left" vertical="center"/>
    </xf>
    <xf numFmtId="0" fontId="4" fillId="4" borderId="2" xfId="1" applyFont="1" applyFill="1" applyBorder="1" applyAlignment="1">
      <alignment vertical="center" wrapText="1"/>
    </xf>
    <xf numFmtId="166" fontId="4" fillId="4" borderId="2" xfId="1" applyNumberFormat="1" applyFont="1" applyFill="1" applyBorder="1" applyAlignment="1">
      <alignment vertical="center" wrapText="1"/>
    </xf>
  </cellXfs>
  <cellStyles count="2">
    <cellStyle name="Normal" xfId="0" builtinId="0"/>
    <cellStyle name="Normal 2" xfId="1" xr:uid="{B61AC54F-9A40-40B1-A027-A85CDA7237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Geyser Battery 2.0 Form Factor vs. Resistance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'Assumptions and Targets'!$C$21</c:f>
              <c:strCache>
                <c:ptCount val="1"/>
                <c:pt idx="0">
                  <c:v>Width,
mm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'Assumptions and Targets'!$B$22:$B$102</c:f>
              <c:numCache>
                <c:formatCode>General</c:formatCode>
                <c:ptCount val="81"/>
                <c:pt idx="0">
                  <c:v>100</c:v>
                </c:pt>
                <c:pt idx="1">
                  <c:v>101</c:v>
                </c:pt>
                <c:pt idx="2">
                  <c:v>102</c:v>
                </c:pt>
                <c:pt idx="3">
                  <c:v>103</c:v>
                </c:pt>
                <c:pt idx="4">
                  <c:v>104</c:v>
                </c:pt>
                <c:pt idx="5">
                  <c:v>105</c:v>
                </c:pt>
                <c:pt idx="6">
                  <c:v>106</c:v>
                </c:pt>
                <c:pt idx="7">
                  <c:v>107</c:v>
                </c:pt>
                <c:pt idx="8">
                  <c:v>108</c:v>
                </c:pt>
                <c:pt idx="9">
                  <c:v>109</c:v>
                </c:pt>
                <c:pt idx="10">
                  <c:v>110</c:v>
                </c:pt>
                <c:pt idx="11">
                  <c:v>111</c:v>
                </c:pt>
                <c:pt idx="12">
                  <c:v>112</c:v>
                </c:pt>
                <c:pt idx="13">
                  <c:v>113</c:v>
                </c:pt>
                <c:pt idx="14">
                  <c:v>114</c:v>
                </c:pt>
                <c:pt idx="15">
                  <c:v>115</c:v>
                </c:pt>
                <c:pt idx="16">
                  <c:v>116</c:v>
                </c:pt>
                <c:pt idx="17">
                  <c:v>117</c:v>
                </c:pt>
                <c:pt idx="18">
                  <c:v>118</c:v>
                </c:pt>
                <c:pt idx="19">
                  <c:v>119</c:v>
                </c:pt>
                <c:pt idx="20">
                  <c:v>120</c:v>
                </c:pt>
                <c:pt idx="21">
                  <c:v>121</c:v>
                </c:pt>
                <c:pt idx="22">
                  <c:v>122</c:v>
                </c:pt>
                <c:pt idx="23">
                  <c:v>123</c:v>
                </c:pt>
                <c:pt idx="24">
                  <c:v>124</c:v>
                </c:pt>
                <c:pt idx="25">
                  <c:v>125</c:v>
                </c:pt>
                <c:pt idx="26">
                  <c:v>126</c:v>
                </c:pt>
                <c:pt idx="27">
                  <c:v>127</c:v>
                </c:pt>
                <c:pt idx="28">
                  <c:v>128</c:v>
                </c:pt>
                <c:pt idx="29">
                  <c:v>129</c:v>
                </c:pt>
                <c:pt idx="30">
                  <c:v>130</c:v>
                </c:pt>
                <c:pt idx="31">
                  <c:v>131</c:v>
                </c:pt>
                <c:pt idx="32">
                  <c:v>132</c:v>
                </c:pt>
                <c:pt idx="33">
                  <c:v>133</c:v>
                </c:pt>
                <c:pt idx="34">
                  <c:v>134</c:v>
                </c:pt>
                <c:pt idx="35">
                  <c:v>135</c:v>
                </c:pt>
                <c:pt idx="36">
                  <c:v>136</c:v>
                </c:pt>
                <c:pt idx="37">
                  <c:v>137</c:v>
                </c:pt>
                <c:pt idx="38">
                  <c:v>138</c:v>
                </c:pt>
                <c:pt idx="39">
                  <c:v>139</c:v>
                </c:pt>
                <c:pt idx="40">
                  <c:v>140</c:v>
                </c:pt>
                <c:pt idx="41">
                  <c:v>141</c:v>
                </c:pt>
                <c:pt idx="42">
                  <c:v>142</c:v>
                </c:pt>
                <c:pt idx="43">
                  <c:v>143</c:v>
                </c:pt>
                <c:pt idx="44">
                  <c:v>144</c:v>
                </c:pt>
                <c:pt idx="45">
                  <c:v>145</c:v>
                </c:pt>
                <c:pt idx="46">
                  <c:v>146</c:v>
                </c:pt>
                <c:pt idx="47">
                  <c:v>147</c:v>
                </c:pt>
                <c:pt idx="48">
                  <c:v>148</c:v>
                </c:pt>
                <c:pt idx="49">
                  <c:v>149</c:v>
                </c:pt>
                <c:pt idx="50">
                  <c:v>150</c:v>
                </c:pt>
                <c:pt idx="51">
                  <c:v>151</c:v>
                </c:pt>
                <c:pt idx="52">
                  <c:v>152</c:v>
                </c:pt>
                <c:pt idx="53">
                  <c:v>153</c:v>
                </c:pt>
                <c:pt idx="54">
                  <c:v>154</c:v>
                </c:pt>
                <c:pt idx="55">
                  <c:v>155</c:v>
                </c:pt>
                <c:pt idx="56">
                  <c:v>156</c:v>
                </c:pt>
                <c:pt idx="57">
                  <c:v>157</c:v>
                </c:pt>
                <c:pt idx="58">
                  <c:v>158</c:v>
                </c:pt>
                <c:pt idx="59">
                  <c:v>159</c:v>
                </c:pt>
                <c:pt idx="60">
                  <c:v>160</c:v>
                </c:pt>
                <c:pt idx="61">
                  <c:v>161</c:v>
                </c:pt>
                <c:pt idx="62">
                  <c:v>162</c:v>
                </c:pt>
                <c:pt idx="63">
                  <c:v>163</c:v>
                </c:pt>
                <c:pt idx="64">
                  <c:v>164</c:v>
                </c:pt>
                <c:pt idx="65">
                  <c:v>165</c:v>
                </c:pt>
                <c:pt idx="66">
                  <c:v>166</c:v>
                </c:pt>
                <c:pt idx="67">
                  <c:v>167</c:v>
                </c:pt>
                <c:pt idx="68">
                  <c:v>168</c:v>
                </c:pt>
                <c:pt idx="69">
                  <c:v>169</c:v>
                </c:pt>
                <c:pt idx="70">
                  <c:v>170</c:v>
                </c:pt>
                <c:pt idx="71">
                  <c:v>171</c:v>
                </c:pt>
                <c:pt idx="72">
                  <c:v>172</c:v>
                </c:pt>
                <c:pt idx="73">
                  <c:v>173</c:v>
                </c:pt>
                <c:pt idx="74">
                  <c:v>174</c:v>
                </c:pt>
                <c:pt idx="75">
                  <c:v>175</c:v>
                </c:pt>
                <c:pt idx="76">
                  <c:v>176</c:v>
                </c:pt>
                <c:pt idx="77">
                  <c:v>177</c:v>
                </c:pt>
                <c:pt idx="78">
                  <c:v>178</c:v>
                </c:pt>
                <c:pt idx="79">
                  <c:v>179</c:v>
                </c:pt>
                <c:pt idx="80">
                  <c:v>180</c:v>
                </c:pt>
              </c:numCache>
            </c:numRef>
          </c:xVal>
          <c:yVal>
            <c:numRef>
              <c:f>'Assumptions and Targets'!$C$22:$C$102</c:f>
              <c:numCache>
                <c:formatCode>General</c:formatCode>
                <c:ptCount val="81"/>
                <c:pt idx="0">
                  <c:v>519.05999999999995</c:v>
                </c:pt>
                <c:pt idx="1">
                  <c:v>513.9207920792079</c:v>
                </c:pt>
                <c:pt idx="2">
                  <c:v>508.88235294117646</c:v>
                </c:pt>
                <c:pt idx="3">
                  <c:v>503.94174757281553</c:v>
                </c:pt>
                <c:pt idx="4">
                  <c:v>499.09615384615387</c:v>
                </c:pt>
                <c:pt idx="5">
                  <c:v>494.34285714285716</c:v>
                </c:pt>
                <c:pt idx="6">
                  <c:v>489.67924528301887</c:v>
                </c:pt>
                <c:pt idx="7">
                  <c:v>485.10280373831773</c:v>
                </c:pt>
                <c:pt idx="8">
                  <c:v>480.61111111111109</c:v>
                </c:pt>
                <c:pt idx="9">
                  <c:v>476.20183486238534</c:v>
                </c:pt>
                <c:pt idx="10">
                  <c:v>471.87272727272727</c:v>
                </c:pt>
                <c:pt idx="11">
                  <c:v>467.62162162162161</c:v>
                </c:pt>
                <c:pt idx="12">
                  <c:v>463.44642857142856</c:v>
                </c:pt>
                <c:pt idx="13">
                  <c:v>459.34513274336285</c:v>
                </c:pt>
                <c:pt idx="14">
                  <c:v>455.31578947368422</c:v>
                </c:pt>
                <c:pt idx="15">
                  <c:v>451.35652173913041</c:v>
                </c:pt>
                <c:pt idx="16">
                  <c:v>447.4655172413793</c:v>
                </c:pt>
                <c:pt idx="17">
                  <c:v>443.64102564102564</c:v>
                </c:pt>
                <c:pt idx="18">
                  <c:v>439.88135593220341</c:v>
                </c:pt>
                <c:pt idx="19">
                  <c:v>436.18487394957981</c:v>
                </c:pt>
                <c:pt idx="20">
                  <c:v>432.55</c:v>
                </c:pt>
                <c:pt idx="21">
                  <c:v>428.97520661157023</c:v>
                </c:pt>
                <c:pt idx="22">
                  <c:v>425.4590163934426</c:v>
                </c:pt>
                <c:pt idx="23">
                  <c:v>422</c:v>
                </c:pt>
                <c:pt idx="24">
                  <c:v>418.59677419354841</c:v>
                </c:pt>
                <c:pt idx="25">
                  <c:v>415.24799999999999</c:v>
                </c:pt>
                <c:pt idx="26">
                  <c:v>411.95238095238096</c:v>
                </c:pt>
                <c:pt idx="27">
                  <c:v>408.70866141732284</c:v>
                </c:pt>
                <c:pt idx="28">
                  <c:v>405.515625</c:v>
                </c:pt>
                <c:pt idx="29">
                  <c:v>402.37209302325579</c:v>
                </c:pt>
                <c:pt idx="30">
                  <c:v>399.27692307692308</c:v>
                </c:pt>
                <c:pt idx="31">
                  <c:v>396.2290076335878</c:v>
                </c:pt>
                <c:pt idx="32">
                  <c:v>393.22727272727275</c:v>
                </c:pt>
                <c:pt idx="33">
                  <c:v>390.27067669172931</c:v>
                </c:pt>
                <c:pt idx="34">
                  <c:v>387.35820895522386</c:v>
                </c:pt>
                <c:pt idx="35">
                  <c:v>384.48888888888888</c:v>
                </c:pt>
                <c:pt idx="36">
                  <c:v>381.66176470588238</c:v>
                </c:pt>
                <c:pt idx="37">
                  <c:v>378.87591240875912</c:v>
                </c:pt>
                <c:pt idx="38">
                  <c:v>376.13043478260869</c:v>
                </c:pt>
                <c:pt idx="39">
                  <c:v>373.42446043165467</c:v>
                </c:pt>
                <c:pt idx="40">
                  <c:v>370.75714285714287</c:v>
                </c:pt>
                <c:pt idx="41">
                  <c:v>368.12765957446811</c:v>
                </c:pt>
                <c:pt idx="42">
                  <c:v>365.53521126760563</c:v>
                </c:pt>
                <c:pt idx="43">
                  <c:v>362.97902097902096</c:v>
                </c:pt>
                <c:pt idx="44">
                  <c:v>360.45833333333331</c:v>
                </c:pt>
                <c:pt idx="45">
                  <c:v>357.97241379310344</c:v>
                </c:pt>
                <c:pt idx="46">
                  <c:v>355.52054794520546</c:v>
                </c:pt>
                <c:pt idx="47">
                  <c:v>353.10204081632651</c:v>
                </c:pt>
                <c:pt idx="48">
                  <c:v>350.7162162162162</c:v>
                </c:pt>
                <c:pt idx="49">
                  <c:v>348.36241610738256</c:v>
                </c:pt>
                <c:pt idx="50">
                  <c:v>346.04</c:v>
                </c:pt>
                <c:pt idx="51">
                  <c:v>343.74834437086093</c:v>
                </c:pt>
                <c:pt idx="52">
                  <c:v>341.48684210526318</c:v>
                </c:pt>
                <c:pt idx="53">
                  <c:v>339.25490196078431</c:v>
                </c:pt>
                <c:pt idx="54">
                  <c:v>337.05194805194805</c:v>
                </c:pt>
                <c:pt idx="55">
                  <c:v>334.87741935483871</c:v>
                </c:pt>
                <c:pt idx="56">
                  <c:v>332.73076923076923</c:v>
                </c:pt>
                <c:pt idx="57">
                  <c:v>330.61146496815286</c:v>
                </c:pt>
                <c:pt idx="58">
                  <c:v>328.51898734177217</c:v>
                </c:pt>
                <c:pt idx="59">
                  <c:v>326.45283018867923</c:v>
                </c:pt>
                <c:pt idx="60">
                  <c:v>324.41250000000002</c:v>
                </c:pt>
                <c:pt idx="61">
                  <c:v>322.3975155279503</c:v>
                </c:pt>
                <c:pt idx="62">
                  <c:v>320.40740740740739</c:v>
                </c:pt>
                <c:pt idx="63">
                  <c:v>318.44171779141107</c:v>
                </c:pt>
                <c:pt idx="64">
                  <c:v>316.5</c:v>
                </c:pt>
                <c:pt idx="65">
                  <c:v>314.58181818181816</c:v>
                </c:pt>
                <c:pt idx="66">
                  <c:v>312.68674698795184</c:v>
                </c:pt>
                <c:pt idx="67">
                  <c:v>310.81437125748505</c:v>
                </c:pt>
                <c:pt idx="68">
                  <c:v>308.96428571428572</c:v>
                </c:pt>
                <c:pt idx="69">
                  <c:v>307.1360946745562</c:v>
                </c:pt>
                <c:pt idx="70">
                  <c:v>305.32941176470587</c:v>
                </c:pt>
                <c:pt idx="71">
                  <c:v>303.54385964912279</c:v>
                </c:pt>
                <c:pt idx="72">
                  <c:v>301.77906976744185</c:v>
                </c:pt>
                <c:pt idx="73">
                  <c:v>300.03468208092488</c:v>
                </c:pt>
                <c:pt idx="74">
                  <c:v>298.31034482758622</c:v>
                </c:pt>
                <c:pt idx="75">
                  <c:v>296.60571428571427</c:v>
                </c:pt>
                <c:pt idx="76">
                  <c:v>294.92045454545456</c:v>
                </c:pt>
                <c:pt idx="77">
                  <c:v>293.25423728813558</c:v>
                </c:pt>
                <c:pt idx="78">
                  <c:v>291.60674157303373</c:v>
                </c:pt>
                <c:pt idx="79">
                  <c:v>289.97765363128491</c:v>
                </c:pt>
                <c:pt idx="80">
                  <c:v>288.36666666666667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3-413C-A36F-DFDDEB4C3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7963631"/>
        <c:axId val="1817957391"/>
      </c:scatterChart>
      <c:scatterChart>
        <c:scatterStyle val="lineMarker"/>
        <c:varyColors val="0"/>
        <c:ser>
          <c:idx val="1"/>
          <c:order val="1"/>
          <c:tx>
            <c:strRef>
              <c:f>'Assumptions and Targets'!$D$21</c:f>
              <c:strCache>
                <c:ptCount val="1"/>
                <c:pt idx="0">
                  <c:v>10 ms ESR,
mOhms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4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8F33-413C-A36F-DFDDEB4C3575}"/>
              </c:ext>
            </c:extLst>
          </c:dPt>
          <c:xVal>
            <c:numRef>
              <c:f>'Assumptions and Targets'!$B$22:$B$102</c:f>
              <c:numCache>
                <c:formatCode>General</c:formatCode>
                <c:ptCount val="81"/>
                <c:pt idx="0">
                  <c:v>100</c:v>
                </c:pt>
                <c:pt idx="1">
                  <c:v>101</c:v>
                </c:pt>
                <c:pt idx="2">
                  <c:v>102</c:v>
                </c:pt>
                <c:pt idx="3">
                  <c:v>103</c:v>
                </c:pt>
                <c:pt idx="4">
                  <c:v>104</c:v>
                </c:pt>
                <c:pt idx="5">
                  <c:v>105</c:v>
                </c:pt>
                <c:pt idx="6">
                  <c:v>106</c:v>
                </c:pt>
                <c:pt idx="7">
                  <c:v>107</c:v>
                </c:pt>
                <c:pt idx="8">
                  <c:v>108</c:v>
                </c:pt>
                <c:pt idx="9">
                  <c:v>109</c:v>
                </c:pt>
                <c:pt idx="10">
                  <c:v>110</c:v>
                </c:pt>
                <c:pt idx="11">
                  <c:v>111</c:v>
                </c:pt>
                <c:pt idx="12">
                  <c:v>112</c:v>
                </c:pt>
                <c:pt idx="13">
                  <c:v>113</c:v>
                </c:pt>
                <c:pt idx="14">
                  <c:v>114</c:v>
                </c:pt>
                <c:pt idx="15">
                  <c:v>115</c:v>
                </c:pt>
                <c:pt idx="16">
                  <c:v>116</c:v>
                </c:pt>
                <c:pt idx="17">
                  <c:v>117</c:v>
                </c:pt>
                <c:pt idx="18">
                  <c:v>118</c:v>
                </c:pt>
                <c:pt idx="19">
                  <c:v>119</c:v>
                </c:pt>
                <c:pt idx="20">
                  <c:v>120</c:v>
                </c:pt>
                <c:pt idx="21">
                  <c:v>121</c:v>
                </c:pt>
                <c:pt idx="22">
                  <c:v>122</c:v>
                </c:pt>
                <c:pt idx="23">
                  <c:v>123</c:v>
                </c:pt>
                <c:pt idx="24">
                  <c:v>124</c:v>
                </c:pt>
                <c:pt idx="25">
                  <c:v>125</c:v>
                </c:pt>
                <c:pt idx="26">
                  <c:v>126</c:v>
                </c:pt>
                <c:pt idx="27">
                  <c:v>127</c:v>
                </c:pt>
                <c:pt idx="28">
                  <c:v>128</c:v>
                </c:pt>
                <c:pt idx="29">
                  <c:v>129</c:v>
                </c:pt>
                <c:pt idx="30">
                  <c:v>130</c:v>
                </c:pt>
                <c:pt idx="31">
                  <c:v>131</c:v>
                </c:pt>
                <c:pt idx="32">
                  <c:v>132</c:v>
                </c:pt>
                <c:pt idx="33">
                  <c:v>133</c:v>
                </c:pt>
                <c:pt idx="34">
                  <c:v>134</c:v>
                </c:pt>
                <c:pt idx="35">
                  <c:v>135</c:v>
                </c:pt>
                <c:pt idx="36">
                  <c:v>136</c:v>
                </c:pt>
                <c:pt idx="37">
                  <c:v>137</c:v>
                </c:pt>
                <c:pt idx="38">
                  <c:v>138</c:v>
                </c:pt>
                <c:pt idx="39">
                  <c:v>139</c:v>
                </c:pt>
                <c:pt idx="40">
                  <c:v>140</c:v>
                </c:pt>
                <c:pt idx="41">
                  <c:v>141</c:v>
                </c:pt>
                <c:pt idx="42">
                  <c:v>142</c:v>
                </c:pt>
                <c:pt idx="43">
                  <c:v>143</c:v>
                </c:pt>
                <c:pt idx="44">
                  <c:v>144</c:v>
                </c:pt>
                <c:pt idx="45">
                  <c:v>145</c:v>
                </c:pt>
                <c:pt idx="46">
                  <c:v>146</c:v>
                </c:pt>
                <c:pt idx="47">
                  <c:v>147</c:v>
                </c:pt>
                <c:pt idx="48">
                  <c:v>148</c:v>
                </c:pt>
                <c:pt idx="49">
                  <c:v>149</c:v>
                </c:pt>
                <c:pt idx="50">
                  <c:v>150</c:v>
                </c:pt>
                <c:pt idx="51">
                  <c:v>151</c:v>
                </c:pt>
                <c:pt idx="52">
                  <c:v>152</c:v>
                </c:pt>
                <c:pt idx="53">
                  <c:v>153</c:v>
                </c:pt>
                <c:pt idx="54">
                  <c:v>154</c:v>
                </c:pt>
                <c:pt idx="55">
                  <c:v>155</c:v>
                </c:pt>
                <c:pt idx="56">
                  <c:v>156</c:v>
                </c:pt>
                <c:pt idx="57">
                  <c:v>157</c:v>
                </c:pt>
                <c:pt idx="58">
                  <c:v>158</c:v>
                </c:pt>
                <c:pt idx="59">
                  <c:v>159</c:v>
                </c:pt>
                <c:pt idx="60">
                  <c:v>160</c:v>
                </c:pt>
                <c:pt idx="61">
                  <c:v>161</c:v>
                </c:pt>
                <c:pt idx="62">
                  <c:v>162</c:v>
                </c:pt>
                <c:pt idx="63">
                  <c:v>163</c:v>
                </c:pt>
                <c:pt idx="64">
                  <c:v>164</c:v>
                </c:pt>
                <c:pt idx="65">
                  <c:v>165</c:v>
                </c:pt>
                <c:pt idx="66">
                  <c:v>166</c:v>
                </c:pt>
                <c:pt idx="67">
                  <c:v>167</c:v>
                </c:pt>
                <c:pt idx="68">
                  <c:v>168</c:v>
                </c:pt>
                <c:pt idx="69">
                  <c:v>169</c:v>
                </c:pt>
                <c:pt idx="70">
                  <c:v>170</c:v>
                </c:pt>
                <c:pt idx="71">
                  <c:v>171</c:v>
                </c:pt>
                <c:pt idx="72">
                  <c:v>172</c:v>
                </c:pt>
                <c:pt idx="73">
                  <c:v>173</c:v>
                </c:pt>
                <c:pt idx="74">
                  <c:v>174</c:v>
                </c:pt>
                <c:pt idx="75">
                  <c:v>175</c:v>
                </c:pt>
                <c:pt idx="76">
                  <c:v>176</c:v>
                </c:pt>
                <c:pt idx="77">
                  <c:v>177</c:v>
                </c:pt>
                <c:pt idx="78">
                  <c:v>178</c:v>
                </c:pt>
                <c:pt idx="79">
                  <c:v>179</c:v>
                </c:pt>
                <c:pt idx="80">
                  <c:v>180</c:v>
                </c:pt>
              </c:numCache>
            </c:numRef>
          </c:xVal>
          <c:yVal>
            <c:numRef>
              <c:f>'Assumptions and Targets'!$D$22:$D$102</c:f>
              <c:numCache>
                <c:formatCode>General</c:formatCode>
                <c:ptCount val="81"/>
                <c:pt idx="0">
                  <c:v>0.38130593241050231</c:v>
                </c:pt>
                <c:pt idx="1">
                  <c:v>0.38897018165195346</c:v>
                </c:pt>
                <c:pt idx="2">
                  <c:v>0.39671069207988668</c:v>
                </c:pt>
                <c:pt idx="3">
                  <c:v>0.40452746369430187</c:v>
                </c:pt>
                <c:pt idx="4">
                  <c:v>0.4124204964951993</c:v>
                </c:pt>
                <c:pt idx="5">
                  <c:v>0.4203897904825788</c:v>
                </c:pt>
                <c:pt idx="6">
                  <c:v>0.42843534565644037</c:v>
                </c:pt>
                <c:pt idx="7">
                  <c:v>0.43655716201678413</c:v>
                </c:pt>
                <c:pt idx="8">
                  <c:v>0.44475523956360991</c:v>
                </c:pt>
                <c:pt idx="9">
                  <c:v>0.4530295782969177</c:v>
                </c:pt>
                <c:pt idx="10">
                  <c:v>0.46138017821670779</c:v>
                </c:pt>
                <c:pt idx="11">
                  <c:v>0.4698070393229799</c:v>
                </c:pt>
                <c:pt idx="12">
                  <c:v>0.47831016161573409</c:v>
                </c:pt>
                <c:pt idx="13">
                  <c:v>0.4868895450949704</c:v>
                </c:pt>
                <c:pt idx="14">
                  <c:v>0.49554518976068879</c:v>
                </c:pt>
                <c:pt idx="15">
                  <c:v>0.50427709561288936</c:v>
                </c:pt>
                <c:pt idx="16">
                  <c:v>0.51308526265157195</c:v>
                </c:pt>
                <c:pt idx="17">
                  <c:v>0.52196969087673661</c:v>
                </c:pt>
                <c:pt idx="18">
                  <c:v>0.53093038028838346</c:v>
                </c:pt>
                <c:pt idx="19">
                  <c:v>0.53996733088651239</c:v>
                </c:pt>
                <c:pt idx="20">
                  <c:v>0.54908054267112327</c:v>
                </c:pt>
                <c:pt idx="21">
                  <c:v>0.55827001564221646</c:v>
                </c:pt>
                <c:pt idx="22">
                  <c:v>0.5675357497997916</c:v>
                </c:pt>
                <c:pt idx="23">
                  <c:v>0.57687774514384893</c:v>
                </c:pt>
                <c:pt idx="24">
                  <c:v>0.58629600167438833</c:v>
                </c:pt>
                <c:pt idx="25">
                  <c:v>0.59579051939140981</c:v>
                </c:pt>
                <c:pt idx="26">
                  <c:v>0.60536129829491347</c:v>
                </c:pt>
                <c:pt idx="27">
                  <c:v>0.61500833838489921</c:v>
                </c:pt>
                <c:pt idx="28">
                  <c:v>0.62473163966136713</c:v>
                </c:pt>
                <c:pt idx="29">
                  <c:v>0.63453120212431702</c:v>
                </c:pt>
                <c:pt idx="30">
                  <c:v>0.64440702577374886</c:v>
                </c:pt>
                <c:pt idx="31">
                  <c:v>0.65435911060966301</c:v>
                </c:pt>
                <c:pt idx="32">
                  <c:v>0.66438745663205911</c:v>
                </c:pt>
                <c:pt idx="33">
                  <c:v>0.67449206384093752</c:v>
                </c:pt>
                <c:pt idx="34">
                  <c:v>0.68467293223629788</c:v>
                </c:pt>
                <c:pt idx="35">
                  <c:v>0.69493006181814043</c:v>
                </c:pt>
                <c:pt idx="36">
                  <c:v>0.70526345258646495</c:v>
                </c:pt>
                <c:pt idx="37">
                  <c:v>0.71567310454127198</c:v>
                </c:pt>
                <c:pt idx="38">
                  <c:v>0.72615901768256053</c:v>
                </c:pt>
                <c:pt idx="39">
                  <c:v>0.73672119201033159</c:v>
                </c:pt>
                <c:pt idx="40">
                  <c:v>0.74735962752458451</c:v>
                </c:pt>
                <c:pt idx="41">
                  <c:v>0.75807432422531973</c:v>
                </c:pt>
                <c:pt idx="42">
                  <c:v>0.7688652821125368</c:v>
                </c:pt>
                <c:pt idx="43">
                  <c:v>0.77973250118623616</c:v>
                </c:pt>
                <c:pt idx="44">
                  <c:v>0.7906759814464176</c:v>
                </c:pt>
                <c:pt idx="45">
                  <c:v>0.80169572289308111</c:v>
                </c:pt>
                <c:pt idx="46">
                  <c:v>0.81279172552622669</c:v>
                </c:pt>
                <c:pt idx="47">
                  <c:v>0.82396398934585446</c:v>
                </c:pt>
                <c:pt idx="48">
                  <c:v>0.83521251435196431</c:v>
                </c:pt>
                <c:pt idx="49">
                  <c:v>0.846537300544556</c:v>
                </c:pt>
                <c:pt idx="50">
                  <c:v>0.85793834792363011</c:v>
                </c:pt>
                <c:pt idx="51">
                  <c:v>0.86941565648918628</c:v>
                </c:pt>
                <c:pt idx="52">
                  <c:v>0.88096922624122442</c:v>
                </c:pt>
                <c:pt idx="53">
                  <c:v>0.89259905717974464</c:v>
                </c:pt>
                <c:pt idx="54">
                  <c:v>0.90430514930474748</c:v>
                </c:pt>
                <c:pt idx="55">
                  <c:v>0.91608750261623173</c:v>
                </c:pt>
                <c:pt idx="56">
                  <c:v>0.92794611711419861</c:v>
                </c:pt>
                <c:pt idx="57">
                  <c:v>0.93988099279864723</c:v>
                </c:pt>
                <c:pt idx="58">
                  <c:v>0.95189212966957804</c:v>
                </c:pt>
                <c:pt idx="59">
                  <c:v>0.96397952772699103</c:v>
                </c:pt>
                <c:pt idx="60">
                  <c:v>0.97614318697088598</c:v>
                </c:pt>
                <c:pt idx="61">
                  <c:v>0.98838310740126312</c:v>
                </c:pt>
                <c:pt idx="62">
                  <c:v>1.0006992890181223</c:v>
                </c:pt>
                <c:pt idx="63">
                  <c:v>1.0130917318214636</c:v>
                </c:pt>
                <c:pt idx="64">
                  <c:v>1.0255604358112869</c:v>
                </c:pt>
                <c:pt idx="65">
                  <c:v>1.0381054009875925</c:v>
                </c:pt>
                <c:pt idx="66">
                  <c:v>1.0507266273503801</c:v>
                </c:pt>
                <c:pt idx="67">
                  <c:v>1.0634241148996499</c:v>
                </c:pt>
                <c:pt idx="68">
                  <c:v>1.0761978636354017</c:v>
                </c:pt>
                <c:pt idx="69">
                  <c:v>1.0890478735576357</c:v>
                </c:pt>
                <c:pt idx="70">
                  <c:v>1.1019741446663518</c:v>
                </c:pt>
                <c:pt idx="71">
                  <c:v>1.1149766769615497</c:v>
                </c:pt>
                <c:pt idx="72">
                  <c:v>1.12805547044323</c:v>
                </c:pt>
                <c:pt idx="73">
                  <c:v>1.1412105251113922</c:v>
                </c:pt>
                <c:pt idx="74">
                  <c:v>1.1544418409660366</c:v>
                </c:pt>
                <c:pt idx="75">
                  <c:v>1.1677494180071633</c:v>
                </c:pt>
                <c:pt idx="76">
                  <c:v>1.1811332562347718</c:v>
                </c:pt>
                <c:pt idx="77">
                  <c:v>1.1945933556488626</c:v>
                </c:pt>
                <c:pt idx="78">
                  <c:v>1.2081297162494353</c:v>
                </c:pt>
                <c:pt idx="79">
                  <c:v>1.2217423380364905</c:v>
                </c:pt>
                <c:pt idx="80">
                  <c:v>1.2354312210100276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33-413C-A36F-DFDDEB4C3575}"/>
            </c:ext>
          </c:extLst>
        </c:ser>
        <c:ser>
          <c:idx val="2"/>
          <c:order val="2"/>
          <c:tx>
            <c:v>ESR Limit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142</c:v>
              </c:pt>
              <c:pt idx="1">
                <c:v>142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8F33-413C-A36F-DFDDEB4C3575}"/>
            </c:ext>
          </c:extLst>
        </c:ser>
        <c:ser>
          <c:idx val="3"/>
          <c:order val="3"/>
          <c:tx>
            <c:strRef>
              <c:f>'Assumptions and Targets'!$E$21</c:f>
              <c:strCache>
                <c:ptCount val="1"/>
                <c:pt idx="0">
                  <c:v>10 ms ESR w/ 30% improvement,
mOhms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'Assumptions and Targets'!$B$22:$B$102</c:f>
              <c:numCache>
                <c:formatCode>General</c:formatCode>
                <c:ptCount val="81"/>
                <c:pt idx="0">
                  <c:v>100</c:v>
                </c:pt>
                <c:pt idx="1">
                  <c:v>101</c:v>
                </c:pt>
                <c:pt idx="2">
                  <c:v>102</c:v>
                </c:pt>
                <c:pt idx="3">
                  <c:v>103</c:v>
                </c:pt>
                <c:pt idx="4">
                  <c:v>104</c:v>
                </c:pt>
                <c:pt idx="5">
                  <c:v>105</c:v>
                </c:pt>
                <c:pt idx="6">
                  <c:v>106</c:v>
                </c:pt>
                <c:pt idx="7">
                  <c:v>107</c:v>
                </c:pt>
                <c:pt idx="8">
                  <c:v>108</c:v>
                </c:pt>
                <c:pt idx="9">
                  <c:v>109</c:v>
                </c:pt>
                <c:pt idx="10">
                  <c:v>110</c:v>
                </c:pt>
                <c:pt idx="11">
                  <c:v>111</c:v>
                </c:pt>
                <c:pt idx="12">
                  <c:v>112</c:v>
                </c:pt>
                <c:pt idx="13">
                  <c:v>113</c:v>
                </c:pt>
                <c:pt idx="14">
                  <c:v>114</c:v>
                </c:pt>
                <c:pt idx="15">
                  <c:v>115</c:v>
                </c:pt>
                <c:pt idx="16">
                  <c:v>116</c:v>
                </c:pt>
                <c:pt idx="17">
                  <c:v>117</c:v>
                </c:pt>
                <c:pt idx="18">
                  <c:v>118</c:v>
                </c:pt>
                <c:pt idx="19">
                  <c:v>119</c:v>
                </c:pt>
                <c:pt idx="20">
                  <c:v>120</c:v>
                </c:pt>
                <c:pt idx="21">
                  <c:v>121</c:v>
                </c:pt>
                <c:pt idx="22">
                  <c:v>122</c:v>
                </c:pt>
                <c:pt idx="23">
                  <c:v>123</c:v>
                </c:pt>
                <c:pt idx="24">
                  <c:v>124</c:v>
                </c:pt>
                <c:pt idx="25">
                  <c:v>125</c:v>
                </c:pt>
                <c:pt idx="26">
                  <c:v>126</c:v>
                </c:pt>
                <c:pt idx="27">
                  <c:v>127</c:v>
                </c:pt>
                <c:pt idx="28">
                  <c:v>128</c:v>
                </c:pt>
                <c:pt idx="29">
                  <c:v>129</c:v>
                </c:pt>
                <c:pt idx="30">
                  <c:v>130</c:v>
                </c:pt>
                <c:pt idx="31">
                  <c:v>131</c:v>
                </c:pt>
                <c:pt idx="32">
                  <c:v>132</c:v>
                </c:pt>
                <c:pt idx="33">
                  <c:v>133</c:v>
                </c:pt>
                <c:pt idx="34">
                  <c:v>134</c:v>
                </c:pt>
                <c:pt idx="35">
                  <c:v>135</c:v>
                </c:pt>
                <c:pt idx="36">
                  <c:v>136</c:v>
                </c:pt>
                <c:pt idx="37">
                  <c:v>137</c:v>
                </c:pt>
                <c:pt idx="38">
                  <c:v>138</c:v>
                </c:pt>
                <c:pt idx="39">
                  <c:v>139</c:v>
                </c:pt>
                <c:pt idx="40">
                  <c:v>140</c:v>
                </c:pt>
                <c:pt idx="41">
                  <c:v>141</c:v>
                </c:pt>
                <c:pt idx="42">
                  <c:v>142</c:v>
                </c:pt>
                <c:pt idx="43">
                  <c:v>143</c:v>
                </c:pt>
                <c:pt idx="44">
                  <c:v>144</c:v>
                </c:pt>
                <c:pt idx="45">
                  <c:v>145</c:v>
                </c:pt>
                <c:pt idx="46">
                  <c:v>146</c:v>
                </c:pt>
                <c:pt idx="47">
                  <c:v>147</c:v>
                </c:pt>
                <c:pt idx="48">
                  <c:v>148</c:v>
                </c:pt>
                <c:pt idx="49">
                  <c:v>149</c:v>
                </c:pt>
                <c:pt idx="50">
                  <c:v>150</c:v>
                </c:pt>
                <c:pt idx="51">
                  <c:v>151</c:v>
                </c:pt>
                <c:pt idx="52">
                  <c:v>152</c:v>
                </c:pt>
                <c:pt idx="53">
                  <c:v>153</c:v>
                </c:pt>
                <c:pt idx="54">
                  <c:v>154</c:v>
                </c:pt>
                <c:pt idx="55">
                  <c:v>155</c:v>
                </c:pt>
                <c:pt idx="56">
                  <c:v>156</c:v>
                </c:pt>
                <c:pt idx="57">
                  <c:v>157</c:v>
                </c:pt>
                <c:pt idx="58">
                  <c:v>158</c:v>
                </c:pt>
                <c:pt idx="59">
                  <c:v>159</c:v>
                </c:pt>
                <c:pt idx="60">
                  <c:v>160</c:v>
                </c:pt>
                <c:pt idx="61">
                  <c:v>161</c:v>
                </c:pt>
                <c:pt idx="62">
                  <c:v>162</c:v>
                </c:pt>
                <c:pt idx="63">
                  <c:v>163</c:v>
                </c:pt>
                <c:pt idx="64">
                  <c:v>164</c:v>
                </c:pt>
                <c:pt idx="65">
                  <c:v>165</c:v>
                </c:pt>
                <c:pt idx="66">
                  <c:v>166</c:v>
                </c:pt>
                <c:pt idx="67">
                  <c:v>167</c:v>
                </c:pt>
                <c:pt idx="68">
                  <c:v>168</c:v>
                </c:pt>
                <c:pt idx="69">
                  <c:v>169</c:v>
                </c:pt>
                <c:pt idx="70">
                  <c:v>170</c:v>
                </c:pt>
                <c:pt idx="71">
                  <c:v>171</c:v>
                </c:pt>
                <c:pt idx="72">
                  <c:v>172</c:v>
                </c:pt>
                <c:pt idx="73">
                  <c:v>173</c:v>
                </c:pt>
                <c:pt idx="74">
                  <c:v>174</c:v>
                </c:pt>
                <c:pt idx="75">
                  <c:v>175</c:v>
                </c:pt>
                <c:pt idx="76">
                  <c:v>176</c:v>
                </c:pt>
                <c:pt idx="77">
                  <c:v>177</c:v>
                </c:pt>
                <c:pt idx="78">
                  <c:v>178</c:v>
                </c:pt>
                <c:pt idx="79">
                  <c:v>179</c:v>
                </c:pt>
                <c:pt idx="80">
                  <c:v>180</c:v>
                </c:pt>
              </c:numCache>
            </c:numRef>
          </c:xVal>
          <c:yVal>
            <c:numRef>
              <c:f>'Assumptions and Targets'!$E$22:$E$102</c:f>
              <c:numCache>
                <c:formatCode>General</c:formatCode>
                <c:ptCount val="81"/>
                <c:pt idx="0">
                  <c:v>0.26691415268735158</c:v>
                </c:pt>
                <c:pt idx="1">
                  <c:v>0.27227912715636743</c:v>
                </c:pt>
                <c:pt idx="2">
                  <c:v>0.27769748445592068</c:v>
                </c:pt>
                <c:pt idx="3">
                  <c:v>0.28316922458601129</c:v>
                </c:pt>
                <c:pt idx="4">
                  <c:v>0.28869434754663947</c:v>
                </c:pt>
                <c:pt idx="5">
                  <c:v>0.29427285333780512</c:v>
                </c:pt>
                <c:pt idx="6">
                  <c:v>0.29990474195950823</c:v>
                </c:pt>
                <c:pt idx="7">
                  <c:v>0.30559001341174885</c:v>
                </c:pt>
                <c:pt idx="8">
                  <c:v>0.31132866769452694</c:v>
                </c:pt>
                <c:pt idx="9">
                  <c:v>0.31712070480784238</c:v>
                </c:pt>
                <c:pt idx="10">
                  <c:v>0.32296612475169545</c:v>
                </c:pt>
                <c:pt idx="11">
                  <c:v>0.32886492752608593</c:v>
                </c:pt>
                <c:pt idx="12">
                  <c:v>0.33481711313101387</c:v>
                </c:pt>
                <c:pt idx="13">
                  <c:v>0.34082268156647927</c:v>
                </c:pt>
                <c:pt idx="14">
                  <c:v>0.34688163283248213</c:v>
                </c:pt>
                <c:pt idx="15">
                  <c:v>0.35299396692902252</c:v>
                </c:pt>
                <c:pt idx="16">
                  <c:v>0.35915968385610036</c:v>
                </c:pt>
                <c:pt idx="17">
                  <c:v>0.36537878361371562</c:v>
                </c:pt>
                <c:pt idx="18">
                  <c:v>0.37165126620186839</c:v>
                </c:pt>
                <c:pt idx="19">
                  <c:v>0.37797713162055863</c:v>
                </c:pt>
                <c:pt idx="20">
                  <c:v>0.38435637986978627</c:v>
                </c:pt>
                <c:pt idx="21">
                  <c:v>0.39078901094955149</c:v>
                </c:pt>
                <c:pt idx="22">
                  <c:v>0.39727502485985411</c:v>
                </c:pt>
                <c:pt idx="23">
                  <c:v>0.40381442160069425</c:v>
                </c:pt>
                <c:pt idx="24">
                  <c:v>0.4104072011720718</c:v>
                </c:pt>
                <c:pt idx="25">
                  <c:v>0.41705336357398687</c:v>
                </c:pt>
                <c:pt idx="26">
                  <c:v>0.4237529088064394</c:v>
                </c:pt>
                <c:pt idx="27">
                  <c:v>0.43050583686942945</c:v>
                </c:pt>
                <c:pt idx="28">
                  <c:v>0.43731214776295696</c:v>
                </c:pt>
                <c:pt idx="29">
                  <c:v>0.44417184148702188</c:v>
                </c:pt>
                <c:pt idx="30">
                  <c:v>0.45108491804162415</c:v>
                </c:pt>
                <c:pt idx="31">
                  <c:v>0.45805137742676405</c:v>
                </c:pt>
                <c:pt idx="32">
                  <c:v>0.46507121964244136</c:v>
                </c:pt>
                <c:pt idx="33">
                  <c:v>0.47214444468865624</c:v>
                </c:pt>
                <c:pt idx="34">
                  <c:v>0.47927105256540847</c:v>
                </c:pt>
                <c:pt idx="35">
                  <c:v>0.48645104327269828</c:v>
                </c:pt>
                <c:pt idx="36">
                  <c:v>0.49368441681052544</c:v>
                </c:pt>
                <c:pt idx="37">
                  <c:v>0.50097117317889039</c:v>
                </c:pt>
                <c:pt idx="38">
                  <c:v>0.50831131237779237</c:v>
                </c:pt>
                <c:pt idx="39">
                  <c:v>0.51570483440723214</c:v>
                </c:pt>
                <c:pt idx="40">
                  <c:v>0.52315173926720915</c:v>
                </c:pt>
                <c:pt idx="41">
                  <c:v>0.53065202695772373</c:v>
                </c:pt>
                <c:pt idx="42">
                  <c:v>0.53820569747877567</c:v>
                </c:pt>
                <c:pt idx="43">
                  <c:v>0.54581275083036529</c:v>
                </c:pt>
                <c:pt idx="44">
                  <c:v>0.55347318701249226</c:v>
                </c:pt>
                <c:pt idx="45">
                  <c:v>0.5611870060251567</c:v>
                </c:pt>
                <c:pt idx="46">
                  <c:v>0.5689542078683586</c:v>
                </c:pt>
                <c:pt idx="47">
                  <c:v>0.57677479254209807</c:v>
                </c:pt>
                <c:pt idx="48">
                  <c:v>0.584648760046375</c:v>
                </c:pt>
                <c:pt idx="49">
                  <c:v>0.59257611038118918</c:v>
                </c:pt>
                <c:pt idx="50">
                  <c:v>0.60055684354654104</c:v>
                </c:pt>
                <c:pt idx="51">
                  <c:v>0.60859095954243037</c:v>
                </c:pt>
                <c:pt idx="52">
                  <c:v>0.61667845836885704</c:v>
                </c:pt>
                <c:pt idx="53">
                  <c:v>0.62481934002582118</c:v>
                </c:pt>
                <c:pt idx="54">
                  <c:v>0.63301360451332322</c:v>
                </c:pt>
                <c:pt idx="55">
                  <c:v>0.64126125183136218</c:v>
                </c:pt>
                <c:pt idx="56">
                  <c:v>0.64956228197993904</c:v>
                </c:pt>
                <c:pt idx="57">
                  <c:v>0.65791669495905303</c:v>
                </c:pt>
                <c:pt idx="58">
                  <c:v>0.66632449076870459</c:v>
                </c:pt>
                <c:pt idx="59">
                  <c:v>0.67478566940889373</c:v>
                </c:pt>
                <c:pt idx="60">
                  <c:v>0.68330023087962011</c:v>
                </c:pt>
                <c:pt idx="61">
                  <c:v>0.69186817518088417</c:v>
                </c:pt>
                <c:pt idx="62">
                  <c:v>0.70048950231268559</c:v>
                </c:pt>
                <c:pt idx="63">
                  <c:v>0.70916421227502446</c:v>
                </c:pt>
                <c:pt idx="64">
                  <c:v>0.7178923050679008</c:v>
                </c:pt>
                <c:pt idx="65">
                  <c:v>0.72667378069131472</c:v>
                </c:pt>
                <c:pt idx="66">
                  <c:v>0.7355086391452661</c:v>
                </c:pt>
                <c:pt idx="67">
                  <c:v>0.74439688042975494</c:v>
                </c:pt>
                <c:pt idx="68">
                  <c:v>0.75333850454478113</c:v>
                </c:pt>
                <c:pt idx="69">
                  <c:v>0.7623335114903449</c:v>
                </c:pt>
                <c:pt idx="70">
                  <c:v>0.77138190126644623</c:v>
                </c:pt>
                <c:pt idx="71">
                  <c:v>0.7804836738730847</c:v>
                </c:pt>
                <c:pt idx="72">
                  <c:v>0.78963882931026097</c:v>
                </c:pt>
                <c:pt idx="73">
                  <c:v>0.79884736757797448</c:v>
                </c:pt>
                <c:pt idx="74">
                  <c:v>0.80810928867622556</c:v>
                </c:pt>
                <c:pt idx="75">
                  <c:v>0.81742459260501421</c:v>
                </c:pt>
                <c:pt idx="76">
                  <c:v>0.82679327936434022</c:v>
                </c:pt>
                <c:pt idx="77">
                  <c:v>0.8362153489542038</c:v>
                </c:pt>
                <c:pt idx="78">
                  <c:v>0.84569080137460473</c:v>
                </c:pt>
                <c:pt idx="79">
                  <c:v>0.85521963662554323</c:v>
                </c:pt>
                <c:pt idx="80">
                  <c:v>0.8648018547070192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3-413C-A36F-DFDDEB4C3575}"/>
            </c:ext>
          </c:extLst>
        </c:ser>
        <c:ser>
          <c:idx val="4"/>
          <c:order val="4"/>
          <c:tx>
            <c:v>ESR Limit w/ improvements</c:v>
          </c:tx>
          <c:spPr>
            <a:ln w="1905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169</c:v>
              </c:pt>
              <c:pt idx="1">
                <c:v>169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1.5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8F33-413C-A36F-DFDDEB4C3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7980911"/>
        <c:axId val="1817966991"/>
      </c:scatterChart>
      <c:valAx>
        <c:axId val="1817963631"/>
        <c:scaling>
          <c:orientation val="minMax"/>
          <c:max val="18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 length,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957391"/>
        <c:crosses val="autoZero"/>
        <c:crossBetween val="midCat"/>
      </c:valAx>
      <c:valAx>
        <c:axId val="181795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 width,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963631"/>
        <c:crosses val="autoZero"/>
        <c:crossBetween val="midCat"/>
      </c:valAx>
      <c:valAx>
        <c:axId val="1817966991"/>
        <c:scaling>
          <c:orientation val="minMax"/>
          <c:max val="1.5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 ms ESR, mOhms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980911"/>
        <c:crosses val="max"/>
        <c:crossBetween val="midCat"/>
      </c:valAx>
      <c:valAx>
        <c:axId val="18179809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7966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4397452303925678E-2"/>
          <c:y val="0.76345972138098117"/>
          <c:w val="0.95623983869170326"/>
          <c:h val="0.20884797092671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187324</xdr:colOff>
      <xdr:row>10</xdr:row>
      <xdr:rowOff>171450</xdr:rowOff>
    </xdr:from>
    <xdr:to>
      <xdr:col>16</xdr:col>
      <xdr:colOff>31750</xdr:colOff>
      <xdr:row>31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5D08E-9225-A0DF-CE0C-744D6BDFC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35</xdr:col>
      <xdr:colOff>0</xdr:colOff>
      <xdr:row>94</xdr:row>
      <xdr:rowOff>95518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C84FEE-1FB8-0E8E-1884-767DC8359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25000" cy="180025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32</xdr:col>
      <xdr:colOff>340104</xdr:colOff>
      <xdr:row>123</xdr:row>
      <xdr:rowOff>127000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E570FA-6960-B8F4-6DE7-CDCC71C37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660104" cy="23558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9E598E-3D89-4695-9573-0847721D8628}" name="BOMTable3" displayName="BOMTable3" ref="A1:L19">
  <autoFilter ref="A1:L19" xr:uid="{00000000-0009-0000-0100-000001000000}"/>
  <tableColumns count="12">
    <tableColumn id="1" xr3:uid="{87865914-9ABC-4A02-B586-B3808CC79060}" name="Item #"/>
    <tableColumn id="2" xr3:uid="{831896E7-D250-4F3D-A42A-54DA2D6A61BB}" name="Part / Description"/>
    <tableColumn id="3" xr3:uid="{C0AAA1B5-2495-46A0-9C20-7FFC79485170}" name="Category"/>
    <tableColumn id="4" xr3:uid="{9515D9B7-928F-400B-97CB-33F945855A47}" name="Spec / Material"/>
    <tableColumn id="5" xr3:uid="{97F9B9AC-D2B9-4510-94AB-B712BB3C2A2F}" name="Qty / Cell"/>
    <tableColumn id="6" xr3:uid="{93CB0B7F-21A2-4689-8913-93F4C915769F}" name="Unit"/>
    <tableColumn id="7" xr3:uid="{B6303063-19D2-4892-8520-902C6550F05C}" name="Make/Buy"/>
    <tableColumn id="8" xr3:uid="{9A244975-B4BE-4052-9B71-D6FFF9E3FDBD}" name="Supplier"/>
    <tableColumn id="10" xr3:uid="{8D5E9859-7281-431A-AED4-5ED055A86E31}" name="Unit Cost"/>
    <tableColumn id="11" xr3:uid="{12084DE2-BC6F-4832-B95E-1FF009A0A6E9}" name="Total cost"/>
    <tableColumn id="12" xr3:uid="{7E711535-6F26-4CC5-B29E-50FBE3B00B7C}" name="Notes"/>
    <tableColumn id="13" xr3:uid="{83019ECE-2606-4C42-98F1-21408316EDBF}" name="Source UR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16BA-E64A-406D-AB24-9A94FFAA5CF3}">
  <dimension ref="A1:F102"/>
  <sheetViews>
    <sheetView topLeftCell="A3" workbookViewId="0">
      <selection activeCell="E5" sqref="E5"/>
    </sheetView>
  </sheetViews>
  <sheetFormatPr defaultRowHeight="14.5" x14ac:dyDescent="0.35"/>
  <cols>
    <col min="1" max="1" width="23.453125" bestFit="1" customWidth="1"/>
    <col min="2" max="2" width="9.7265625" bestFit="1" customWidth="1"/>
    <col min="3" max="3" width="13.1796875" customWidth="1"/>
    <col min="4" max="4" width="10.81640625" customWidth="1"/>
    <col min="5" max="5" width="16.26953125" customWidth="1"/>
  </cols>
  <sheetData>
    <row r="1" spans="1:6" ht="29" x14ac:dyDescent="0.35">
      <c r="B1" t="s">
        <v>13</v>
      </c>
      <c r="C1" s="3" t="s">
        <v>23</v>
      </c>
      <c r="D1" s="3" t="s">
        <v>24</v>
      </c>
      <c r="F1" t="s">
        <v>14</v>
      </c>
    </row>
    <row r="2" spans="1:6" x14ac:dyDescent="0.35">
      <c r="A2" t="s">
        <v>17</v>
      </c>
      <c r="B2">
        <v>142</v>
      </c>
      <c r="C2">
        <v>246</v>
      </c>
      <c r="D2">
        <f>B2</f>
        <v>142</v>
      </c>
      <c r="F2" t="s">
        <v>15</v>
      </c>
    </row>
    <row r="3" spans="1:6" x14ac:dyDescent="0.35">
      <c r="A3" t="s">
        <v>18</v>
      </c>
      <c r="B3">
        <v>122</v>
      </c>
      <c r="C3">
        <v>211</v>
      </c>
      <c r="D3">
        <f>B3*3</f>
        <v>366</v>
      </c>
      <c r="F3" t="s">
        <v>16</v>
      </c>
    </row>
    <row r="4" spans="1:6" x14ac:dyDescent="0.35">
      <c r="A4" t="s">
        <v>19</v>
      </c>
      <c r="B4">
        <f>B2*B3</f>
        <v>17324</v>
      </c>
      <c r="C4">
        <f>C2*C3</f>
        <v>51906</v>
      </c>
      <c r="D4">
        <f>D3*D2</f>
        <v>51972</v>
      </c>
      <c r="E4">
        <f>B4*3</f>
        <v>51972</v>
      </c>
      <c r="F4" t="s">
        <v>20</v>
      </c>
    </row>
    <row r="5" spans="1:6" x14ac:dyDescent="0.35">
      <c r="A5" t="s">
        <v>0</v>
      </c>
      <c r="B5">
        <v>1.7</v>
      </c>
      <c r="C5">
        <v>1.7</v>
      </c>
      <c r="D5">
        <v>1.7</v>
      </c>
      <c r="F5" t="s">
        <v>21</v>
      </c>
    </row>
    <row r="6" spans="1:6" x14ac:dyDescent="0.35">
      <c r="A6" t="s">
        <v>1</v>
      </c>
      <c r="B6">
        <v>256</v>
      </c>
      <c r="C6">
        <v>256</v>
      </c>
      <c r="D6">
        <v>256</v>
      </c>
      <c r="F6" t="s">
        <v>22</v>
      </c>
    </row>
    <row r="7" spans="1:6" x14ac:dyDescent="0.35">
      <c r="A7" t="s">
        <v>2</v>
      </c>
      <c r="B7">
        <v>3</v>
      </c>
      <c r="C7">
        <v>1</v>
      </c>
      <c r="D7">
        <v>1</v>
      </c>
      <c r="F7" t="s">
        <v>25</v>
      </c>
    </row>
    <row r="8" spans="1:6" x14ac:dyDescent="0.35">
      <c r="A8" t="s">
        <v>3</v>
      </c>
      <c r="B8" s="2">
        <f>AVERAGE(2.13,2.52,2.261)</f>
        <v>2.303666666666667</v>
      </c>
      <c r="C8" s="2">
        <f>B8/3</f>
        <v>0.76788888888888895</v>
      </c>
      <c r="D8" s="2">
        <f>B8/3</f>
        <v>0.76788888888888895</v>
      </c>
      <c r="F8" t="s">
        <v>26</v>
      </c>
    </row>
    <row r="9" spans="1:6" x14ac:dyDescent="0.35">
      <c r="A9" t="s">
        <v>4</v>
      </c>
      <c r="B9">
        <f>AVERAGE(5.236,5.603,5.193)</f>
        <v>5.3439999999999985</v>
      </c>
      <c r="C9" s="2">
        <f>B9/3</f>
        <v>1.7813333333333328</v>
      </c>
      <c r="D9" s="2">
        <f>B9/3</f>
        <v>1.7813333333333328</v>
      </c>
    </row>
    <row r="10" spans="1:6" x14ac:dyDescent="0.35">
      <c r="A10" t="s">
        <v>5</v>
      </c>
      <c r="B10" s="1">
        <f>AVERAGE(0.128,0.125, 0.13)</f>
        <v>0.12766666666666668</v>
      </c>
      <c r="C10">
        <f>B10*3</f>
        <v>0.38300000000000001</v>
      </c>
      <c r="D10">
        <f>B10*3</f>
        <v>0.38300000000000001</v>
      </c>
      <c r="F10">
        <f>B8/3</f>
        <v>0.76788888888888895</v>
      </c>
    </row>
    <row r="11" spans="1:6" x14ac:dyDescent="0.35">
      <c r="A11" t="s">
        <v>6</v>
      </c>
      <c r="B11" s="1">
        <f>AVERAGE(0.0906,0.0875,0.092)</f>
        <v>9.003333333333334E-2</v>
      </c>
      <c r="C11" s="1">
        <f>B11*3</f>
        <v>0.27010000000000001</v>
      </c>
      <c r="D11" s="1">
        <f>B11*3</f>
        <v>0.27010000000000001</v>
      </c>
    </row>
    <row r="12" spans="1:6" x14ac:dyDescent="0.35">
      <c r="A12" t="s">
        <v>7</v>
      </c>
      <c r="B12">
        <v>3.4000000000000002E-2</v>
      </c>
      <c r="C12">
        <f>3*B12</f>
        <v>0.10200000000000001</v>
      </c>
      <c r="D12">
        <f>3*B12</f>
        <v>0.10200000000000001</v>
      </c>
    </row>
    <row r="13" spans="1:6" x14ac:dyDescent="0.35">
      <c r="A13" t="s">
        <v>8</v>
      </c>
      <c r="B13">
        <f>B6*B5</f>
        <v>435.2</v>
      </c>
      <c r="C13">
        <f t="shared" ref="C13:D15" si="0">B13</f>
        <v>435.2</v>
      </c>
      <c r="D13">
        <f t="shared" si="0"/>
        <v>435.2</v>
      </c>
    </row>
    <row r="14" spans="1:6" x14ac:dyDescent="0.35">
      <c r="A14" t="s">
        <v>9</v>
      </c>
      <c r="B14" s="4">
        <f>B6*B7*B10</f>
        <v>98.048000000000002</v>
      </c>
      <c r="C14" s="4">
        <f t="shared" si="0"/>
        <v>98.048000000000002</v>
      </c>
      <c r="D14" s="4">
        <f t="shared" si="0"/>
        <v>98.048000000000002</v>
      </c>
    </row>
    <row r="15" spans="1:6" x14ac:dyDescent="0.35">
      <c r="A15" t="s">
        <v>10</v>
      </c>
      <c r="B15" s="4">
        <f>B6*B7*B11</f>
        <v>69.145600000000002</v>
      </c>
      <c r="C15" s="4">
        <f t="shared" si="0"/>
        <v>69.145600000000002</v>
      </c>
      <c r="D15" s="4">
        <f t="shared" si="0"/>
        <v>69.145600000000002</v>
      </c>
    </row>
    <row r="16" spans="1:6" x14ac:dyDescent="0.35">
      <c r="A16" t="s">
        <v>11</v>
      </c>
      <c r="B16" s="4">
        <f>B6*B8/B7</f>
        <v>196.57955555555557</v>
      </c>
      <c r="C16" s="4">
        <f>C6*C8</f>
        <v>196.57955555555557</v>
      </c>
      <c r="D16" s="4">
        <f>D6*D8</f>
        <v>196.57955555555557</v>
      </c>
    </row>
    <row r="17" spans="1:5" x14ac:dyDescent="0.35">
      <c r="A17" t="s">
        <v>12</v>
      </c>
      <c r="B17" s="4">
        <f>B6*B9/B7</f>
        <v>456.02133333333319</v>
      </c>
      <c r="C17" s="4">
        <f>C6*C9</f>
        <v>456.02133333333319</v>
      </c>
      <c r="D17" s="4">
        <f>D6*D9</f>
        <v>456.02133333333319</v>
      </c>
    </row>
    <row r="21" spans="1:5" ht="43.5" x14ac:dyDescent="0.35">
      <c r="A21" t="s">
        <v>166</v>
      </c>
      <c r="B21" s="3" t="s">
        <v>169</v>
      </c>
      <c r="C21" s="3" t="s">
        <v>168</v>
      </c>
      <c r="D21" s="3" t="s">
        <v>167</v>
      </c>
      <c r="E21" s="3" t="s">
        <v>170</v>
      </c>
    </row>
    <row r="22" spans="1:5" x14ac:dyDescent="0.35">
      <c r="B22">
        <v>100</v>
      </c>
      <c r="C22">
        <f t="shared" ref="C22:C85" si="1">$C$4/B22</f>
        <v>519.05999999999995</v>
      </c>
      <c r="D22">
        <f>$B$8*((B22/$B$2)/(C22/$B$3))</f>
        <v>0.38130593241050231</v>
      </c>
      <c r="E22">
        <f>D22*0.7</f>
        <v>0.26691415268735158</v>
      </c>
    </row>
    <row r="23" spans="1:5" x14ac:dyDescent="0.35">
      <c r="B23">
        <v>101</v>
      </c>
      <c r="C23">
        <f t="shared" si="1"/>
        <v>513.9207920792079</v>
      </c>
      <c r="D23">
        <f t="shared" ref="D23:D31" si="2">$B$8*((B23/$B$2)/(C23/$B$3))</f>
        <v>0.38897018165195346</v>
      </c>
      <c r="E23">
        <f t="shared" ref="E23:E86" si="3">D23*0.7</f>
        <v>0.27227912715636743</v>
      </c>
    </row>
    <row r="24" spans="1:5" x14ac:dyDescent="0.35">
      <c r="B24">
        <v>102</v>
      </c>
      <c r="C24">
        <f t="shared" si="1"/>
        <v>508.88235294117646</v>
      </c>
      <c r="D24">
        <f t="shared" si="2"/>
        <v>0.39671069207988668</v>
      </c>
      <c r="E24">
        <f t="shared" si="3"/>
        <v>0.27769748445592068</v>
      </c>
    </row>
    <row r="25" spans="1:5" x14ac:dyDescent="0.35">
      <c r="B25">
        <v>103</v>
      </c>
      <c r="C25">
        <f t="shared" si="1"/>
        <v>503.94174757281553</v>
      </c>
      <c r="D25">
        <f t="shared" si="2"/>
        <v>0.40452746369430187</v>
      </c>
      <c r="E25">
        <f t="shared" si="3"/>
        <v>0.28316922458601129</v>
      </c>
    </row>
    <row r="26" spans="1:5" x14ac:dyDescent="0.35">
      <c r="B26">
        <v>104</v>
      </c>
      <c r="C26">
        <f t="shared" si="1"/>
        <v>499.09615384615387</v>
      </c>
      <c r="D26">
        <f t="shared" si="2"/>
        <v>0.4124204964951993</v>
      </c>
      <c r="E26">
        <f t="shared" si="3"/>
        <v>0.28869434754663947</v>
      </c>
    </row>
    <row r="27" spans="1:5" x14ac:dyDescent="0.35">
      <c r="B27">
        <v>105</v>
      </c>
      <c r="C27">
        <f t="shared" si="1"/>
        <v>494.34285714285716</v>
      </c>
      <c r="D27">
        <f t="shared" si="2"/>
        <v>0.4203897904825788</v>
      </c>
      <c r="E27">
        <f t="shared" si="3"/>
        <v>0.29427285333780512</v>
      </c>
    </row>
    <row r="28" spans="1:5" x14ac:dyDescent="0.35">
      <c r="B28">
        <v>106</v>
      </c>
      <c r="C28">
        <f t="shared" si="1"/>
        <v>489.67924528301887</v>
      </c>
      <c r="D28">
        <f t="shared" si="2"/>
        <v>0.42843534565644037</v>
      </c>
      <c r="E28">
        <f t="shared" si="3"/>
        <v>0.29990474195950823</v>
      </c>
    </row>
    <row r="29" spans="1:5" x14ac:dyDescent="0.35">
      <c r="B29">
        <v>107</v>
      </c>
      <c r="C29">
        <f t="shared" si="1"/>
        <v>485.10280373831773</v>
      </c>
      <c r="D29">
        <f t="shared" si="2"/>
        <v>0.43655716201678413</v>
      </c>
      <c r="E29">
        <f t="shared" si="3"/>
        <v>0.30559001341174885</v>
      </c>
    </row>
    <row r="30" spans="1:5" x14ac:dyDescent="0.35">
      <c r="B30">
        <v>108</v>
      </c>
      <c r="C30">
        <f t="shared" si="1"/>
        <v>480.61111111111109</v>
      </c>
      <c r="D30">
        <f t="shared" si="2"/>
        <v>0.44475523956360991</v>
      </c>
      <c r="E30">
        <f t="shared" si="3"/>
        <v>0.31132866769452694</v>
      </c>
    </row>
    <row r="31" spans="1:5" x14ac:dyDescent="0.35">
      <c r="B31">
        <v>109</v>
      </c>
      <c r="C31">
        <f t="shared" si="1"/>
        <v>476.20183486238534</v>
      </c>
      <c r="D31">
        <f t="shared" si="2"/>
        <v>0.4530295782969177</v>
      </c>
      <c r="E31">
        <f t="shared" si="3"/>
        <v>0.31712070480784238</v>
      </c>
    </row>
    <row r="32" spans="1:5" x14ac:dyDescent="0.35">
      <c r="B32">
        <v>110</v>
      </c>
      <c r="C32">
        <f t="shared" si="1"/>
        <v>471.87272727272727</v>
      </c>
      <c r="D32">
        <f t="shared" ref="D32:D67" si="4">$B$8*((B32/$B$2)/(C32/$B$3))</f>
        <v>0.46138017821670779</v>
      </c>
      <c r="E32">
        <f t="shared" si="3"/>
        <v>0.32296612475169545</v>
      </c>
    </row>
    <row r="33" spans="2:5" x14ac:dyDescent="0.35">
      <c r="B33">
        <v>111</v>
      </c>
      <c r="C33">
        <f t="shared" si="1"/>
        <v>467.62162162162161</v>
      </c>
      <c r="D33">
        <f t="shared" si="4"/>
        <v>0.4698070393229799</v>
      </c>
      <c r="E33">
        <f t="shared" si="3"/>
        <v>0.32886492752608593</v>
      </c>
    </row>
    <row r="34" spans="2:5" x14ac:dyDescent="0.35">
      <c r="B34">
        <v>112</v>
      </c>
      <c r="C34">
        <f t="shared" si="1"/>
        <v>463.44642857142856</v>
      </c>
      <c r="D34">
        <f t="shared" si="4"/>
        <v>0.47831016161573409</v>
      </c>
      <c r="E34">
        <f t="shared" si="3"/>
        <v>0.33481711313101387</v>
      </c>
    </row>
    <row r="35" spans="2:5" x14ac:dyDescent="0.35">
      <c r="B35">
        <v>113</v>
      </c>
      <c r="C35">
        <f t="shared" si="1"/>
        <v>459.34513274336285</v>
      </c>
      <c r="D35">
        <f t="shared" si="4"/>
        <v>0.4868895450949704</v>
      </c>
      <c r="E35">
        <f t="shared" si="3"/>
        <v>0.34082268156647927</v>
      </c>
    </row>
    <row r="36" spans="2:5" x14ac:dyDescent="0.35">
      <c r="B36">
        <v>114</v>
      </c>
      <c r="C36">
        <f t="shared" si="1"/>
        <v>455.31578947368422</v>
      </c>
      <c r="D36">
        <f t="shared" si="4"/>
        <v>0.49554518976068879</v>
      </c>
      <c r="E36">
        <f t="shared" si="3"/>
        <v>0.34688163283248213</v>
      </c>
    </row>
    <row r="37" spans="2:5" x14ac:dyDescent="0.35">
      <c r="B37">
        <v>115</v>
      </c>
      <c r="C37">
        <f t="shared" si="1"/>
        <v>451.35652173913041</v>
      </c>
      <c r="D37">
        <f t="shared" si="4"/>
        <v>0.50427709561288936</v>
      </c>
      <c r="E37">
        <f t="shared" si="3"/>
        <v>0.35299396692902252</v>
      </c>
    </row>
    <row r="38" spans="2:5" x14ac:dyDescent="0.35">
      <c r="B38">
        <v>116</v>
      </c>
      <c r="C38">
        <f t="shared" si="1"/>
        <v>447.4655172413793</v>
      </c>
      <c r="D38">
        <f t="shared" si="4"/>
        <v>0.51308526265157195</v>
      </c>
      <c r="E38">
        <f t="shared" si="3"/>
        <v>0.35915968385610036</v>
      </c>
    </row>
    <row r="39" spans="2:5" x14ac:dyDescent="0.35">
      <c r="B39">
        <v>117</v>
      </c>
      <c r="C39">
        <f t="shared" si="1"/>
        <v>443.64102564102564</v>
      </c>
      <c r="D39">
        <f t="shared" si="4"/>
        <v>0.52196969087673661</v>
      </c>
      <c r="E39">
        <f t="shared" si="3"/>
        <v>0.36537878361371562</v>
      </c>
    </row>
    <row r="40" spans="2:5" x14ac:dyDescent="0.35">
      <c r="B40">
        <v>118</v>
      </c>
      <c r="C40">
        <f t="shared" si="1"/>
        <v>439.88135593220341</v>
      </c>
      <c r="D40">
        <f t="shared" si="4"/>
        <v>0.53093038028838346</v>
      </c>
      <c r="E40">
        <f t="shared" si="3"/>
        <v>0.37165126620186839</v>
      </c>
    </row>
    <row r="41" spans="2:5" x14ac:dyDescent="0.35">
      <c r="B41">
        <v>119</v>
      </c>
      <c r="C41">
        <f t="shared" si="1"/>
        <v>436.18487394957981</v>
      </c>
      <c r="D41">
        <f t="shared" si="4"/>
        <v>0.53996733088651239</v>
      </c>
      <c r="E41">
        <f t="shared" si="3"/>
        <v>0.37797713162055863</v>
      </c>
    </row>
    <row r="42" spans="2:5" x14ac:dyDescent="0.35">
      <c r="B42">
        <v>120</v>
      </c>
      <c r="C42">
        <f t="shared" si="1"/>
        <v>432.55</v>
      </c>
      <c r="D42">
        <f t="shared" si="4"/>
        <v>0.54908054267112327</v>
      </c>
      <c r="E42">
        <f t="shared" si="3"/>
        <v>0.38435637986978627</v>
      </c>
    </row>
    <row r="43" spans="2:5" x14ac:dyDescent="0.35">
      <c r="B43">
        <v>121</v>
      </c>
      <c r="C43">
        <f t="shared" si="1"/>
        <v>428.97520661157023</v>
      </c>
      <c r="D43">
        <f t="shared" si="4"/>
        <v>0.55827001564221646</v>
      </c>
      <c r="E43">
        <f t="shared" si="3"/>
        <v>0.39078901094955149</v>
      </c>
    </row>
    <row r="44" spans="2:5" x14ac:dyDescent="0.35">
      <c r="B44">
        <v>122</v>
      </c>
      <c r="C44">
        <f t="shared" si="1"/>
        <v>425.4590163934426</v>
      </c>
      <c r="D44">
        <f t="shared" si="4"/>
        <v>0.5675357497997916</v>
      </c>
      <c r="E44">
        <f t="shared" si="3"/>
        <v>0.39727502485985411</v>
      </c>
    </row>
    <row r="45" spans="2:5" x14ac:dyDescent="0.35">
      <c r="B45">
        <v>123</v>
      </c>
      <c r="C45">
        <f t="shared" si="1"/>
        <v>422</v>
      </c>
      <c r="D45">
        <f t="shared" si="4"/>
        <v>0.57687774514384893</v>
      </c>
      <c r="E45">
        <f t="shared" si="3"/>
        <v>0.40381442160069425</v>
      </c>
    </row>
    <row r="46" spans="2:5" x14ac:dyDescent="0.35">
      <c r="B46">
        <v>124</v>
      </c>
      <c r="C46">
        <f t="shared" si="1"/>
        <v>418.59677419354841</v>
      </c>
      <c r="D46">
        <f t="shared" si="4"/>
        <v>0.58629600167438833</v>
      </c>
      <c r="E46">
        <f t="shared" si="3"/>
        <v>0.4104072011720718</v>
      </c>
    </row>
    <row r="47" spans="2:5" x14ac:dyDescent="0.35">
      <c r="B47">
        <v>125</v>
      </c>
      <c r="C47">
        <f t="shared" si="1"/>
        <v>415.24799999999999</v>
      </c>
      <c r="D47">
        <f t="shared" si="4"/>
        <v>0.59579051939140981</v>
      </c>
      <c r="E47">
        <f t="shared" si="3"/>
        <v>0.41705336357398687</v>
      </c>
    </row>
    <row r="48" spans="2:5" x14ac:dyDescent="0.35">
      <c r="B48">
        <v>126</v>
      </c>
      <c r="C48">
        <f t="shared" si="1"/>
        <v>411.95238095238096</v>
      </c>
      <c r="D48">
        <f t="shared" si="4"/>
        <v>0.60536129829491347</v>
      </c>
      <c r="E48">
        <f t="shared" si="3"/>
        <v>0.4237529088064394</v>
      </c>
    </row>
    <row r="49" spans="2:5" x14ac:dyDescent="0.35">
      <c r="B49">
        <v>127</v>
      </c>
      <c r="C49">
        <f t="shared" si="1"/>
        <v>408.70866141732284</v>
      </c>
      <c r="D49">
        <f t="shared" si="4"/>
        <v>0.61500833838489921</v>
      </c>
      <c r="E49">
        <f t="shared" si="3"/>
        <v>0.43050583686942945</v>
      </c>
    </row>
    <row r="50" spans="2:5" x14ac:dyDescent="0.35">
      <c r="B50">
        <v>128</v>
      </c>
      <c r="C50">
        <f t="shared" si="1"/>
        <v>405.515625</v>
      </c>
      <c r="D50">
        <f t="shared" si="4"/>
        <v>0.62473163966136713</v>
      </c>
      <c r="E50">
        <f t="shared" si="3"/>
        <v>0.43731214776295696</v>
      </c>
    </row>
    <row r="51" spans="2:5" x14ac:dyDescent="0.35">
      <c r="B51">
        <v>129</v>
      </c>
      <c r="C51">
        <f t="shared" si="1"/>
        <v>402.37209302325579</v>
      </c>
      <c r="D51">
        <f t="shared" si="4"/>
        <v>0.63453120212431702</v>
      </c>
      <c r="E51">
        <f t="shared" si="3"/>
        <v>0.44417184148702188</v>
      </c>
    </row>
    <row r="52" spans="2:5" x14ac:dyDescent="0.35">
      <c r="B52">
        <v>130</v>
      </c>
      <c r="C52">
        <f t="shared" si="1"/>
        <v>399.27692307692308</v>
      </c>
      <c r="D52">
        <f t="shared" si="4"/>
        <v>0.64440702577374886</v>
      </c>
      <c r="E52">
        <f t="shared" si="3"/>
        <v>0.45108491804162415</v>
      </c>
    </row>
    <row r="53" spans="2:5" x14ac:dyDescent="0.35">
      <c r="B53">
        <v>131</v>
      </c>
      <c r="C53">
        <f t="shared" si="1"/>
        <v>396.2290076335878</v>
      </c>
      <c r="D53">
        <f t="shared" si="4"/>
        <v>0.65435911060966301</v>
      </c>
      <c r="E53">
        <f t="shared" si="3"/>
        <v>0.45805137742676405</v>
      </c>
    </row>
    <row r="54" spans="2:5" x14ac:dyDescent="0.35">
      <c r="B54">
        <v>132</v>
      </c>
      <c r="C54">
        <f t="shared" si="1"/>
        <v>393.22727272727275</v>
      </c>
      <c r="D54">
        <f t="shared" si="4"/>
        <v>0.66438745663205911</v>
      </c>
      <c r="E54">
        <f t="shared" si="3"/>
        <v>0.46507121964244136</v>
      </c>
    </row>
    <row r="55" spans="2:5" x14ac:dyDescent="0.35">
      <c r="B55">
        <v>133</v>
      </c>
      <c r="C55">
        <f t="shared" si="1"/>
        <v>390.27067669172931</v>
      </c>
      <c r="D55">
        <f t="shared" si="4"/>
        <v>0.67449206384093752</v>
      </c>
      <c r="E55">
        <f t="shared" si="3"/>
        <v>0.47214444468865624</v>
      </c>
    </row>
    <row r="56" spans="2:5" x14ac:dyDescent="0.35">
      <c r="B56">
        <v>134</v>
      </c>
      <c r="C56">
        <f t="shared" si="1"/>
        <v>387.35820895522386</v>
      </c>
      <c r="D56">
        <f t="shared" si="4"/>
        <v>0.68467293223629788</v>
      </c>
      <c r="E56">
        <f t="shared" si="3"/>
        <v>0.47927105256540847</v>
      </c>
    </row>
    <row r="57" spans="2:5" x14ac:dyDescent="0.35">
      <c r="B57">
        <v>135</v>
      </c>
      <c r="C57">
        <f t="shared" si="1"/>
        <v>384.48888888888888</v>
      </c>
      <c r="D57">
        <f t="shared" si="4"/>
        <v>0.69493006181814043</v>
      </c>
      <c r="E57">
        <f t="shared" si="3"/>
        <v>0.48645104327269828</v>
      </c>
    </row>
    <row r="58" spans="2:5" x14ac:dyDescent="0.35">
      <c r="B58">
        <v>136</v>
      </c>
      <c r="C58">
        <f t="shared" si="1"/>
        <v>381.66176470588238</v>
      </c>
      <c r="D58">
        <f t="shared" si="4"/>
        <v>0.70526345258646495</v>
      </c>
      <c r="E58">
        <f t="shared" si="3"/>
        <v>0.49368441681052544</v>
      </c>
    </row>
    <row r="59" spans="2:5" x14ac:dyDescent="0.35">
      <c r="B59">
        <v>137</v>
      </c>
      <c r="C59">
        <f t="shared" si="1"/>
        <v>378.87591240875912</v>
      </c>
      <c r="D59">
        <f t="shared" si="4"/>
        <v>0.71567310454127198</v>
      </c>
      <c r="E59">
        <f t="shared" si="3"/>
        <v>0.50097117317889039</v>
      </c>
    </row>
    <row r="60" spans="2:5" x14ac:dyDescent="0.35">
      <c r="B60">
        <v>138</v>
      </c>
      <c r="C60">
        <f t="shared" si="1"/>
        <v>376.13043478260869</v>
      </c>
      <c r="D60">
        <f t="shared" si="4"/>
        <v>0.72615901768256053</v>
      </c>
      <c r="E60">
        <f t="shared" si="3"/>
        <v>0.50831131237779237</v>
      </c>
    </row>
    <row r="61" spans="2:5" x14ac:dyDescent="0.35">
      <c r="B61">
        <v>139</v>
      </c>
      <c r="C61">
        <f t="shared" si="1"/>
        <v>373.42446043165467</v>
      </c>
      <c r="D61">
        <f t="shared" si="4"/>
        <v>0.73672119201033159</v>
      </c>
      <c r="E61">
        <f t="shared" si="3"/>
        <v>0.51570483440723214</v>
      </c>
    </row>
    <row r="62" spans="2:5" x14ac:dyDescent="0.35">
      <c r="B62">
        <v>140</v>
      </c>
      <c r="C62">
        <f t="shared" si="1"/>
        <v>370.75714285714287</v>
      </c>
      <c r="D62">
        <f t="shared" si="4"/>
        <v>0.74735962752458451</v>
      </c>
      <c r="E62">
        <f t="shared" si="3"/>
        <v>0.52315173926720915</v>
      </c>
    </row>
    <row r="63" spans="2:5" x14ac:dyDescent="0.35">
      <c r="B63">
        <v>141</v>
      </c>
      <c r="C63">
        <f t="shared" si="1"/>
        <v>368.12765957446811</v>
      </c>
      <c r="D63">
        <f t="shared" si="4"/>
        <v>0.75807432422531973</v>
      </c>
      <c r="E63">
        <f t="shared" si="3"/>
        <v>0.53065202695772373</v>
      </c>
    </row>
    <row r="64" spans="2:5" x14ac:dyDescent="0.35">
      <c r="B64">
        <v>142</v>
      </c>
      <c r="C64">
        <f t="shared" si="1"/>
        <v>365.53521126760563</v>
      </c>
      <c r="D64">
        <f t="shared" si="4"/>
        <v>0.7688652821125368</v>
      </c>
      <c r="E64">
        <f t="shared" si="3"/>
        <v>0.53820569747877567</v>
      </c>
    </row>
    <row r="65" spans="2:5" x14ac:dyDescent="0.35">
      <c r="B65">
        <v>143</v>
      </c>
      <c r="C65">
        <f t="shared" si="1"/>
        <v>362.97902097902096</v>
      </c>
      <c r="D65">
        <f t="shared" si="4"/>
        <v>0.77973250118623616</v>
      </c>
      <c r="E65">
        <f t="shared" si="3"/>
        <v>0.54581275083036529</v>
      </c>
    </row>
    <row r="66" spans="2:5" x14ac:dyDescent="0.35">
      <c r="B66">
        <v>144</v>
      </c>
      <c r="C66">
        <f t="shared" si="1"/>
        <v>360.45833333333331</v>
      </c>
      <c r="D66">
        <f t="shared" si="4"/>
        <v>0.7906759814464176</v>
      </c>
      <c r="E66">
        <f t="shared" si="3"/>
        <v>0.55347318701249226</v>
      </c>
    </row>
    <row r="67" spans="2:5" x14ac:dyDescent="0.35">
      <c r="B67">
        <v>145</v>
      </c>
      <c r="C67">
        <f t="shared" si="1"/>
        <v>357.97241379310344</v>
      </c>
      <c r="D67">
        <f t="shared" si="4"/>
        <v>0.80169572289308111</v>
      </c>
      <c r="E67">
        <f t="shared" si="3"/>
        <v>0.5611870060251567</v>
      </c>
    </row>
    <row r="68" spans="2:5" x14ac:dyDescent="0.35">
      <c r="B68">
        <v>146</v>
      </c>
      <c r="C68">
        <f t="shared" si="1"/>
        <v>355.52054794520546</v>
      </c>
      <c r="D68">
        <f t="shared" ref="D68:D90" si="5">$B$8*((B68/$B$2)/(C68/$B$3))</f>
        <v>0.81279172552622669</v>
      </c>
      <c r="E68">
        <f t="shared" si="3"/>
        <v>0.5689542078683586</v>
      </c>
    </row>
    <row r="69" spans="2:5" x14ac:dyDescent="0.35">
      <c r="B69">
        <v>147</v>
      </c>
      <c r="C69">
        <f t="shared" si="1"/>
        <v>353.10204081632651</v>
      </c>
      <c r="D69">
        <f t="shared" si="5"/>
        <v>0.82396398934585446</v>
      </c>
      <c r="E69">
        <f t="shared" si="3"/>
        <v>0.57677479254209807</v>
      </c>
    </row>
    <row r="70" spans="2:5" x14ac:dyDescent="0.35">
      <c r="B70">
        <v>148</v>
      </c>
      <c r="C70">
        <f t="shared" si="1"/>
        <v>350.7162162162162</v>
      </c>
      <c r="D70">
        <f t="shared" si="5"/>
        <v>0.83521251435196431</v>
      </c>
      <c r="E70">
        <f t="shared" si="3"/>
        <v>0.584648760046375</v>
      </c>
    </row>
    <row r="71" spans="2:5" x14ac:dyDescent="0.35">
      <c r="B71">
        <v>149</v>
      </c>
      <c r="C71">
        <f t="shared" si="1"/>
        <v>348.36241610738256</v>
      </c>
      <c r="D71">
        <f t="shared" si="5"/>
        <v>0.846537300544556</v>
      </c>
      <c r="E71">
        <f t="shared" si="3"/>
        <v>0.59257611038118918</v>
      </c>
    </row>
    <row r="72" spans="2:5" x14ac:dyDescent="0.35">
      <c r="B72">
        <v>150</v>
      </c>
      <c r="C72">
        <f t="shared" si="1"/>
        <v>346.04</v>
      </c>
      <c r="D72">
        <f t="shared" si="5"/>
        <v>0.85793834792363011</v>
      </c>
      <c r="E72">
        <f t="shared" si="3"/>
        <v>0.60055684354654104</v>
      </c>
    </row>
    <row r="73" spans="2:5" x14ac:dyDescent="0.35">
      <c r="B73">
        <v>151</v>
      </c>
      <c r="C73">
        <f t="shared" si="1"/>
        <v>343.74834437086093</v>
      </c>
      <c r="D73">
        <f t="shared" si="5"/>
        <v>0.86941565648918628</v>
      </c>
      <c r="E73">
        <f t="shared" si="3"/>
        <v>0.60859095954243037</v>
      </c>
    </row>
    <row r="74" spans="2:5" x14ac:dyDescent="0.35">
      <c r="B74">
        <v>152</v>
      </c>
      <c r="C74">
        <f t="shared" si="1"/>
        <v>341.48684210526318</v>
      </c>
      <c r="D74">
        <f t="shared" si="5"/>
        <v>0.88096922624122442</v>
      </c>
      <c r="E74">
        <f t="shared" si="3"/>
        <v>0.61667845836885704</v>
      </c>
    </row>
    <row r="75" spans="2:5" x14ac:dyDescent="0.35">
      <c r="B75">
        <v>153</v>
      </c>
      <c r="C75">
        <f t="shared" si="1"/>
        <v>339.25490196078431</v>
      </c>
      <c r="D75">
        <f t="shared" si="5"/>
        <v>0.89259905717974464</v>
      </c>
      <c r="E75">
        <f t="shared" si="3"/>
        <v>0.62481934002582118</v>
      </c>
    </row>
    <row r="76" spans="2:5" x14ac:dyDescent="0.35">
      <c r="B76">
        <v>154</v>
      </c>
      <c r="C76">
        <f t="shared" si="1"/>
        <v>337.05194805194805</v>
      </c>
      <c r="D76">
        <f t="shared" si="5"/>
        <v>0.90430514930474748</v>
      </c>
      <c r="E76">
        <f t="shared" si="3"/>
        <v>0.63301360451332322</v>
      </c>
    </row>
    <row r="77" spans="2:5" x14ac:dyDescent="0.35">
      <c r="B77">
        <v>155</v>
      </c>
      <c r="C77">
        <f t="shared" si="1"/>
        <v>334.87741935483871</v>
      </c>
      <c r="D77">
        <f t="shared" si="5"/>
        <v>0.91608750261623173</v>
      </c>
      <c r="E77">
        <f t="shared" si="3"/>
        <v>0.64126125183136218</v>
      </c>
    </row>
    <row r="78" spans="2:5" x14ac:dyDescent="0.35">
      <c r="B78">
        <v>156</v>
      </c>
      <c r="C78">
        <f t="shared" si="1"/>
        <v>332.73076923076923</v>
      </c>
      <c r="D78">
        <f t="shared" si="5"/>
        <v>0.92794611711419861</v>
      </c>
      <c r="E78">
        <f t="shared" si="3"/>
        <v>0.64956228197993904</v>
      </c>
    </row>
    <row r="79" spans="2:5" x14ac:dyDescent="0.35">
      <c r="B79">
        <v>157</v>
      </c>
      <c r="C79">
        <f t="shared" si="1"/>
        <v>330.61146496815286</v>
      </c>
      <c r="D79">
        <f t="shared" si="5"/>
        <v>0.93988099279864723</v>
      </c>
      <c r="E79">
        <f t="shared" si="3"/>
        <v>0.65791669495905303</v>
      </c>
    </row>
    <row r="80" spans="2:5" x14ac:dyDescent="0.35">
      <c r="B80">
        <v>158</v>
      </c>
      <c r="C80">
        <f t="shared" si="1"/>
        <v>328.51898734177217</v>
      </c>
      <c r="D80">
        <f t="shared" si="5"/>
        <v>0.95189212966957804</v>
      </c>
      <c r="E80">
        <f t="shared" si="3"/>
        <v>0.66632449076870459</v>
      </c>
    </row>
    <row r="81" spans="2:5" x14ac:dyDescent="0.35">
      <c r="B81">
        <v>159</v>
      </c>
      <c r="C81">
        <f t="shared" si="1"/>
        <v>326.45283018867923</v>
      </c>
      <c r="D81">
        <f t="shared" si="5"/>
        <v>0.96397952772699103</v>
      </c>
      <c r="E81">
        <f t="shared" si="3"/>
        <v>0.67478566940889373</v>
      </c>
    </row>
    <row r="82" spans="2:5" x14ac:dyDescent="0.35">
      <c r="B82">
        <v>160</v>
      </c>
      <c r="C82">
        <f t="shared" si="1"/>
        <v>324.41250000000002</v>
      </c>
      <c r="D82">
        <f t="shared" si="5"/>
        <v>0.97614318697088598</v>
      </c>
      <c r="E82">
        <f t="shared" si="3"/>
        <v>0.68330023087962011</v>
      </c>
    </row>
    <row r="83" spans="2:5" x14ac:dyDescent="0.35">
      <c r="B83">
        <v>161</v>
      </c>
      <c r="C83">
        <f t="shared" si="1"/>
        <v>322.3975155279503</v>
      </c>
      <c r="D83">
        <f t="shared" si="5"/>
        <v>0.98838310740126312</v>
      </c>
      <c r="E83">
        <f t="shared" si="3"/>
        <v>0.69186817518088417</v>
      </c>
    </row>
    <row r="84" spans="2:5" x14ac:dyDescent="0.35">
      <c r="B84">
        <v>162</v>
      </c>
      <c r="C84">
        <f t="shared" si="1"/>
        <v>320.40740740740739</v>
      </c>
      <c r="D84">
        <f t="shared" si="5"/>
        <v>1.0006992890181223</v>
      </c>
      <c r="E84">
        <f t="shared" si="3"/>
        <v>0.70048950231268559</v>
      </c>
    </row>
    <row r="85" spans="2:5" x14ac:dyDescent="0.35">
      <c r="B85">
        <v>163</v>
      </c>
      <c r="C85">
        <f t="shared" si="1"/>
        <v>318.44171779141107</v>
      </c>
      <c r="D85">
        <f t="shared" si="5"/>
        <v>1.0130917318214636</v>
      </c>
      <c r="E85">
        <f t="shared" si="3"/>
        <v>0.70916421227502446</v>
      </c>
    </row>
    <row r="86" spans="2:5" x14ac:dyDescent="0.35">
      <c r="B86">
        <v>164</v>
      </c>
      <c r="C86">
        <f t="shared" ref="C86:C102" si="6">$C$4/B86</f>
        <v>316.5</v>
      </c>
      <c r="D86">
        <f t="shared" si="5"/>
        <v>1.0255604358112869</v>
      </c>
      <c r="E86">
        <f t="shared" si="3"/>
        <v>0.7178923050679008</v>
      </c>
    </row>
    <row r="87" spans="2:5" x14ac:dyDescent="0.35">
      <c r="B87">
        <v>165</v>
      </c>
      <c r="C87">
        <f t="shared" si="6"/>
        <v>314.58181818181816</v>
      </c>
      <c r="D87">
        <f t="shared" si="5"/>
        <v>1.0381054009875925</v>
      </c>
      <c r="E87">
        <f t="shared" ref="E87:E102" si="7">D87*0.7</f>
        <v>0.72667378069131472</v>
      </c>
    </row>
    <row r="88" spans="2:5" x14ac:dyDescent="0.35">
      <c r="B88">
        <v>166</v>
      </c>
      <c r="C88">
        <f t="shared" si="6"/>
        <v>312.68674698795184</v>
      </c>
      <c r="D88">
        <f t="shared" si="5"/>
        <v>1.0507266273503801</v>
      </c>
      <c r="E88">
        <f t="shared" si="7"/>
        <v>0.7355086391452661</v>
      </c>
    </row>
    <row r="89" spans="2:5" x14ac:dyDescent="0.35">
      <c r="B89">
        <v>167</v>
      </c>
      <c r="C89">
        <f t="shared" si="6"/>
        <v>310.81437125748505</v>
      </c>
      <c r="D89">
        <f t="shared" si="5"/>
        <v>1.0634241148996499</v>
      </c>
      <c r="E89">
        <f t="shared" si="7"/>
        <v>0.74439688042975494</v>
      </c>
    </row>
    <row r="90" spans="2:5" x14ac:dyDescent="0.35">
      <c r="B90">
        <v>168</v>
      </c>
      <c r="C90">
        <f t="shared" si="6"/>
        <v>308.96428571428572</v>
      </c>
      <c r="D90">
        <f t="shared" si="5"/>
        <v>1.0761978636354017</v>
      </c>
      <c r="E90">
        <f t="shared" si="7"/>
        <v>0.75333850454478113</v>
      </c>
    </row>
    <row r="91" spans="2:5" x14ac:dyDescent="0.35">
      <c r="B91">
        <v>169</v>
      </c>
      <c r="C91">
        <f t="shared" si="6"/>
        <v>307.1360946745562</v>
      </c>
      <c r="D91">
        <f t="shared" ref="D91:D92" si="8">$B$8*((B91/$B$2)/(C91/$B$3))</f>
        <v>1.0890478735576357</v>
      </c>
      <c r="E91">
        <f t="shared" si="7"/>
        <v>0.7623335114903449</v>
      </c>
    </row>
    <row r="92" spans="2:5" x14ac:dyDescent="0.35">
      <c r="B92">
        <v>170</v>
      </c>
      <c r="C92">
        <f t="shared" si="6"/>
        <v>305.32941176470587</v>
      </c>
      <c r="D92">
        <f t="shared" si="8"/>
        <v>1.1019741446663518</v>
      </c>
      <c r="E92">
        <f t="shared" si="7"/>
        <v>0.77138190126644623</v>
      </c>
    </row>
    <row r="93" spans="2:5" x14ac:dyDescent="0.35">
      <c r="B93">
        <v>171</v>
      </c>
      <c r="C93">
        <f t="shared" si="6"/>
        <v>303.54385964912279</v>
      </c>
      <c r="D93">
        <f t="shared" ref="D93:D102" si="9">$B$8*((B93/$B$2)/(C93/$B$3))</f>
        <v>1.1149766769615497</v>
      </c>
      <c r="E93">
        <f t="shared" si="7"/>
        <v>0.7804836738730847</v>
      </c>
    </row>
    <row r="94" spans="2:5" x14ac:dyDescent="0.35">
      <c r="B94">
        <v>172</v>
      </c>
      <c r="C94">
        <f t="shared" si="6"/>
        <v>301.77906976744185</v>
      </c>
      <c r="D94">
        <f t="shared" si="9"/>
        <v>1.12805547044323</v>
      </c>
      <c r="E94">
        <f t="shared" si="7"/>
        <v>0.78963882931026097</v>
      </c>
    </row>
    <row r="95" spans="2:5" x14ac:dyDescent="0.35">
      <c r="B95">
        <v>173</v>
      </c>
      <c r="C95">
        <f t="shared" si="6"/>
        <v>300.03468208092488</v>
      </c>
      <c r="D95">
        <f t="shared" si="9"/>
        <v>1.1412105251113922</v>
      </c>
      <c r="E95">
        <f t="shared" si="7"/>
        <v>0.79884736757797448</v>
      </c>
    </row>
    <row r="96" spans="2:5" x14ac:dyDescent="0.35">
      <c r="B96">
        <v>174</v>
      </c>
      <c r="C96">
        <f t="shared" si="6"/>
        <v>298.31034482758622</v>
      </c>
      <c r="D96">
        <f t="shared" si="9"/>
        <v>1.1544418409660366</v>
      </c>
      <c r="E96">
        <f t="shared" si="7"/>
        <v>0.80810928867622556</v>
      </c>
    </row>
    <row r="97" spans="2:5" x14ac:dyDescent="0.35">
      <c r="B97">
        <v>175</v>
      </c>
      <c r="C97">
        <f t="shared" si="6"/>
        <v>296.60571428571427</v>
      </c>
      <c r="D97">
        <f t="shared" si="9"/>
        <v>1.1677494180071633</v>
      </c>
      <c r="E97">
        <f t="shared" si="7"/>
        <v>0.81742459260501421</v>
      </c>
    </row>
    <row r="98" spans="2:5" x14ac:dyDescent="0.35">
      <c r="B98">
        <v>176</v>
      </c>
      <c r="C98">
        <f t="shared" si="6"/>
        <v>294.92045454545456</v>
      </c>
      <c r="D98">
        <f t="shared" si="9"/>
        <v>1.1811332562347718</v>
      </c>
      <c r="E98">
        <f t="shared" si="7"/>
        <v>0.82679327936434022</v>
      </c>
    </row>
    <row r="99" spans="2:5" x14ac:dyDescent="0.35">
      <c r="B99">
        <v>177</v>
      </c>
      <c r="C99">
        <f t="shared" si="6"/>
        <v>293.25423728813558</v>
      </c>
      <c r="D99">
        <f t="shared" si="9"/>
        <v>1.1945933556488626</v>
      </c>
      <c r="E99">
        <f t="shared" si="7"/>
        <v>0.8362153489542038</v>
      </c>
    </row>
    <row r="100" spans="2:5" x14ac:dyDescent="0.35">
      <c r="B100">
        <v>178</v>
      </c>
      <c r="C100">
        <f t="shared" si="6"/>
        <v>291.60674157303373</v>
      </c>
      <c r="D100">
        <f t="shared" si="9"/>
        <v>1.2081297162494353</v>
      </c>
      <c r="E100">
        <f t="shared" si="7"/>
        <v>0.84569080137460473</v>
      </c>
    </row>
    <row r="101" spans="2:5" x14ac:dyDescent="0.35">
      <c r="B101">
        <v>179</v>
      </c>
      <c r="C101">
        <f t="shared" si="6"/>
        <v>289.97765363128491</v>
      </c>
      <c r="D101">
        <f t="shared" si="9"/>
        <v>1.2217423380364905</v>
      </c>
      <c r="E101">
        <f t="shared" si="7"/>
        <v>0.85521963662554323</v>
      </c>
    </row>
    <row r="102" spans="2:5" x14ac:dyDescent="0.35">
      <c r="B102">
        <v>180</v>
      </c>
      <c r="C102">
        <f t="shared" si="6"/>
        <v>288.36666666666667</v>
      </c>
      <c r="D102">
        <f t="shared" si="9"/>
        <v>1.2354312210100276</v>
      </c>
      <c r="E102">
        <f t="shared" si="7"/>
        <v>0.8648018547070192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C579B-F21C-4AD3-8224-2FF150CDC510}">
  <dimension ref="A1:G50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3" sqref="B13"/>
    </sheetView>
  </sheetViews>
  <sheetFormatPr defaultRowHeight="14.5" x14ac:dyDescent="0.35"/>
  <cols>
    <col min="1" max="1" width="19.08984375" bestFit="1" customWidth="1"/>
    <col min="2" max="2" width="30.81640625" customWidth="1"/>
    <col min="3" max="3" width="21.54296875" bestFit="1" customWidth="1"/>
    <col min="4" max="4" width="26.54296875" bestFit="1" customWidth="1"/>
    <col min="5" max="5" width="23" bestFit="1" customWidth="1"/>
    <col min="6" max="6" width="12.6328125" bestFit="1" customWidth="1"/>
    <col min="7" max="7" width="47.81640625" customWidth="1"/>
  </cols>
  <sheetData>
    <row r="1" spans="1:7" x14ac:dyDescent="0.35">
      <c r="A1" s="6" t="s">
        <v>45</v>
      </c>
      <c r="B1" s="6" t="s">
        <v>46</v>
      </c>
      <c r="C1" s="6" t="s">
        <v>91</v>
      </c>
      <c r="D1" s="6" t="s">
        <v>51</v>
      </c>
      <c r="E1" s="6" t="s">
        <v>50</v>
      </c>
      <c r="F1" s="6" t="s">
        <v>27</v>
      </c>
      <c r="G1" s="6" t="s">
        <v>28</v>
      </c>
    </row>
    <row r="2" spans="1:7" ht="15" thickBot="1" x14ac:dyDescent="0.4">
      <c r="A2" s="11" t="s">
        <v>29</v>
      </c>
      <c r="B2" s="11"/>
      <c r="C2" s="11"/>
      <c r="D2" s="11"/>
      <c r="E2" s="11"/>
      <c r="F2" s="11"/>
      <c r="G2" s="9" t="s">
        <v>172</v>
      </c>
    </row>
    <row r="3" spans="1:7" ht="58" x14ac:dyDescent="0.35">
      <c r="A3" t="s">
        <v>30</v>
      </c>
      <c r="B3" t="s">
        <v>203</v>
      </c>
      <c r="C3" s="3" t="s">
        <v>173</v>
      </c>
      <c r="D3" t="s">
        <v>174</v>
      </c>
      <c r="E3" s="3" t="s">
        <v>175</v>
      </c>
      <c r="G3" s="3" t="s">
        <v>199</v>
      </c>
    </row>
    <row r="4" spans="1:7" x14ac:dyDescent="0.35">
      <c r="B4" s="3" t="s">
        <v>177</v>
      </c>
      <c r="C4" s="3" t="s">
        <v>143</v>
      </c>
      <c r="D4" t="s">
        <v>174</v>
      </c>
      <c r="E4" t="s">
        <v>176</v>
      </c>
      <c r="G4" s="3"/>
    </row>
    <row r="5" spans="1:7" x14ac:dyDescent="0.35">
      <c r="B5" s="3" t="s">
        <v>179</v>
      </c>
      <c r="C5" s="3"/>
      <c r="E5" t="s">
        <v>180</v>
      </c>
      <c r="G5" s="3"/>
    </row>
    <row r="6" spans="1:7" x14ac:dyDescent="0.35">
      <c r="B6" t="s">
        <v>181</v>
      </c>
      <c r="C6" s="3"/>
      <c r="D6" t="s">
        <v>182</v>
      </c>
      <c r="E6" t="s">
        <v>183</v>
      </c>
      <c r="G6" s="3"/>
    </row>
    <row r="7" spans="1:7" ht="58" x14ac:dyDescent="0.35">
      <c r="B7" t="s">
        <v>184</v>
      </c>
      <c r="C7" s="3"/>
      <c r="D7" t="s">
        <v>185</v>
      </c>
      <c r="E7" s="3" t="s">
        <v>186</v>
      </c>
      <c r="G7" s="3"/>
    </row>
    <row r="8" spans="1:7" ht="29" x14ac:dyDescent="0.35">
      <c r="B8" t="s">
        <v>187</v>
      </c>
      <c r="C8" s="3" t="s">
        <v>202</v>
      </c>
      <c r="D8" t="s">
        <v>188</v>
      </c>
      <c r="E8" s="3" t="s">
        <v>189</v>
      </c>
      <c r="G8" s="3"/>
    </row>
    <row r="9" spans="1:7" x14ac:dyDescent="0.35">
      <c r="B9" t="s">
        <v>190</v>
      </c>
      <c r="C9" s="3" t="s">
        <v>191</v>
      </c>
      <c r="E9" s="3"/>
      <c r="G9" s="3"/>
    </row>
    <row r="10" spans="1:7" ht="29" x14ac:dyDescent="0.35">
      <c r="A10" t="s">
        <v>31</v>
      </c>
      <c r="B10" t="s">
        <v>192</v>
      </c>
      <c r="C10" s="3"/>
      <c r="D10" t="s">
        <v>174</v>
      </c>
      <c r="E10" s="3" t="s">
        <v>193</v>
      </c>
      <c r="G10" s="3" t="s">
        <v>200</v>
      </c>
    </row>
    <row r="11" spans="1:7" x14ac:dyDescent="0.35">
      <c r="B11" t="s">
        <v>194</v>
      </c>
      <c r="C11" s="3" t="s">
        <v>204</v>
      </c>
      <c r="D11" t="s">
        <v>174</v>
      </c>
      <c r="E11" s="3"/>
      <c r="G11" s="3"/>
    </row>
    <row r="12" spans="1:7" ht="29" x14ac:dyDescent="0.35">
      <c r="B12" t="s">
        <v>195</v>
      </c>
      <c r="C12" s="3"/>
      <c r="D12" t="s">
        <v>196</v>
      </c>
      <c r="E12" s="3" t="s">
        <v>197</v>
      </c>
      <c r="G12" s="3" t="s">
        <v>201</v>
      </c>
    </row>
    <row r="13" spans="1:7" x14ac:dyDescent="0.35">
      <c r="C13" s="3"/>
      <c r="G13" s="3"/>
    </row>
    <row r="14" spans="1:7" ht="29" x14ac:dyDescent="0.35">
      <c r="A14" s="7" t="s">
        <v>32</v>
      </c>
      <c r="B14" s="3" t="s">
        <v>47</v>
      </c>
      <c r="C14" s="3"/>
      <c r="D14" s="3" t="s">
        <v>49</v>
      </c>
      <c r="E14" s="3" t="s">
        <v>198</v>
      </c>
      <c r="F14" s="5"/>
      <c r="G14" s="3" t="s">
        <v>34</v>
      </c>
    </row>
    <row r="15" spans="1:7" ht="29" x14ac:dyDescent="0.35">
      <c r="A15" s="7"/>
      <c r="B15" s="3" t="s">
        <v>92</v>
      </c>
      <c r="C15" s="3" t="s">
        <v>93</v>
      </c>
      <c r="D15" s="3" t="s">
        <v>56</v>
      </c>
      <c r="E15" s="3"/>
      <c r="F15" s="5" t="s">
        <v>33</v>
      </c>
      <c r="G15" s="3"/>
    </row>
    <row r="16" spans="1:7" x14ac:dyDescent="0.35">
      <c r="A16" s="7"/>
      <c r="B16" s="3" t="s">
        <v>102</v>
      </c>
      <c r="C16" s="3" t="s">
        <v>101</v>
      </c>
      <c r="D16" s="3"/>
      <c r="E16" s="3"/>
      <c r="F16" s="5"/>
      <c r="G16" s="3"/>
    </row>
    <row r="17" spans="1:7" x14ac:dyDescent="0.35">
      <c r="A17" s="7"/>
      <c r="B17" s="3" t="s">
        <v>48</v>
      </c>
      <c r="C17" s="3"/>
      <c r="D17" s="3"/>
      <c r="E17" s="3"/>
      <c r="F17" s="5"/>
      <c r="G17" s="3"/>
    </row>
    <row r="18" spans="1:7" ht="29.5" thickBot="1" x14ac:dyDescent="0.4">
      <c r="A18" s="8"/>
      <c r="B18" s="9" t="s">
        <v>100</v>
      </c>
      <c r="C18" s="9"/>
      <c r="D18" s="9" t="s">
        <v>53</v>
      </c>
      <c r="E18" s="9" t="s">
        <v>99</v>
      </c>
      <c r="F18" s="10"/>
      <c r="G18" s="9"/>
    </row>
    <row r="19" spans="1:7" ht="43.5" x14ac:dyDescent="0.35">
      <c r="A19" s="7" t="s">
        <v>35</v>
      </c>
      <c r="B19" s="3" t="s">
        <v>54</v>
      </c>
      <c r="C19" s="3"/>
      <c r="D19" s="3" t="s">
        <v>49</v>
      </c>
      <c r="E19" s="3" t="s">
        <v>198</v>
      </c>
      <c r="G19" s="3" t="s">
        <v>37</v>
      </c>
    </row>
    <row r="20" spans="1:7" ht="29" x14ac:dyDescent="0.35">
      <c r="A20" s="7"/>
      <c r="B20" s="3" t="s">
        <v>94</v>
      </c>
      <c r="C20" s="3" t="s">
        <v>93</v>
      </c>
      <c r="D20" s="3" t="s">
        <v>56</v>
      </c>
      <c r="E20" s="3"/>
      <c r="F20" s="5" t="s">
        <v>36</v>
      </c>
      <c r="G20" s="3"/>
    </row>
    <row r="21" spans="1:7" x14ac:dyDescent="0.35">
      <c r="A21" s="7"/>
      <c r="B21" s="3" t="s">
        <v>102</v>
      </c>
      <c r="C21" s="3" t="s">
        <v>103</v>
      </c>
      <c r="D21" s="3"/>
      <c r="E21" s="3"/>
      <c r="F21" s="5"/>
      <c r="G21" s="3"/>
    </row>
    <row r="22" spans="1:7" x14ac:dyDescent="0.35">
      <c r="A22" s="7"/>
      <c r="B22" s="3" t="s">
        <v>48</v>
      </c>
      <c r="C22" s="3"/>
      <c r="D22" s="3"/>
      <c r="E22" s="3"/>
      <c r="F22" s="5"/>
      <c r="G22" s="3"/>
    </row>
    <row r="23" spans="1:7" ht="29.5" thickBot="1" x14ac:dyDescent="0.4">
      <c r="A23" s="8"/>
      <c r="B23" s="9" t="s">
        <v>55</v>
      </c>
      <c r="C23" s="9"/>
      <c r="D23" s="9" t="s">
        <v>53</v>
      </c>
      <c r="E23" s="9" t="s">
        <v>57</v>
      </c>
      <c r="F23" s="10"/>
      <c r="G23" s="9"/>
    </row>
    <row r="24" spans="1:7" ht="58" x14ac:dyDescent="0.35">
      <c r="A24" s="7" t="s">
        <v>38</v>
      </c>
      <c r="B24" s="3" t="s">
        <v>66</v>
      </c>
      <c r="C24" s="3"/>
      <c r="D24" s="3"/>
      <c r="E24" s="3"/>
      <c r="G24" s="3" t="s">
        <v>171</v>
      </c>
    </row>
    <row r="25" spans="1:7" x14ac:dyDescent="0.35">
      <c r="A25" s="7"/>
      <c r="B25" s="3" t="s">
        <v>58</v>
      </c>
      <c r="C25" s="3"/>
      <c r="D25" s="3"/>
      <c r="E25" s="3"/>
      <c r="F25" s="3"/>
      <c r="G25" s="3"/>
    </row>
    <row r="26" spans="1:7" ht="87" x14ac:dyDescent="0.35">
      <c r="A26" s="7"/>
      <c r="B26" s="3" t="s">
        <v>59</v>
      </c>
      <c r="C26" s="3"/>
      <c r="D26" s="3"/>
      <c r="E26" s="3"/>
      <c r="F26" s="3" t="s">
        <v>39</v>
      </c>
      <c r="G26" s="3"/>
    </row>
    <row r="27" spans="1:7" ht="29" x14ac:dyDescent="0.35">
      <c r="A27" s="7"/>
      <c r="B27" s="3" t="s">
        <v>60</v>
      </c>
      <c r="C27" s="3" t="s">
        <v>95</v>
      </c>
      <c r="D27" s="3"/>
      <c r="E27" s="3"/>
      <c r="F27" s="3"/>
      <c r="G27" s="3"/>
    </row>
    <row r="28" spans="1:7" x14ac:dyDescent="0.35">
      <c r="A28" s="7"/>
      <c r="B28" s="3" t="s">
        <v>61</v>
      </c>
      <c r="C28" s="3"/>
      <c r="D28" s="3" t="s">
        <v>67</v>
      </c>
      <c r="E28" s="3" t="s">
        <v>68</v>
      </c>
      <c r="F28" s="3"/>
      <c r="G28" s="3"/>
    </row>
    <row r="29" spans="1:7" ht="29" x14ac:dyDescent="0.35">
      <c r="A29" s="7"/>
      <c r="B29" s="3" t="s">
        <v>62</v>
      </c>
      <c r="C29" s="3"/>
      <c r="D29" s="3"/>
      <c r="E29" s="3"/>
      <c r="F29" s="3"/>
      <c r="G29" s="3"/>
    </row>
    <row r="30" spans="1:7" ht="29" x14ac:dyDescent="0.35">
      <c r="A30" s="7"/>
      <c r="B30" s="3" t="s">
        <v>63</v>
      </c>
      <c r="C30" s="3"/>
      <c r="D30" s="3" t="s">
        <v>69</v>
      </c>
      <c r="E30" s="3" t="s">
        <v>104</v>
      </c>
      <c r="F30" s="3"/>
      <c r="G30" s="3"/>
    </row>
    <row r="31" spans="1:7" x14ac:dyDescent="0.35">
      <c r="A31" s="7"/>
      <c r="B31" s="3" t="s">
        <v>64</v>
      </c>
      <c r="C31" s="3"/>
      <c r="D31" s="3"/>
      <c r="E31" s="3"/>
      <c r="F31" s="3"/>
      <c r="G31" s="3"/>
    </row>
    <row r="32" spans="1:7" ht="29" x14ac:dyDescent="0.35">
      <c r="A32" s="7"/>
      <c r="B32" s="3" t="s">
        <v>105</v>
      </c>
      <c r="C32" s="3"/>
      <c r="D32" s="3" t="s">
        <v>70</v>
      </c>
      <c r="E32" s="3" t="s">
        <v>71</v>
      </c>
      <c r="F32" s="3"/>
      <c r="G32" s="3"/>
    </row>
    <row r="33" spans="1:7" ht="29.5" thickBot="1" x14ac:dyDescent="0.4">
      <c r="A33" s="8"/>
      <c r="B33" s="9" t="s">
        <v>65</v>
      </c>
      <c r="C33" s="9"/>
      <c r="D33" s="9"/>
      <c r="E33" s="9"/>
      <c r="F33" s="9"/>
      <c r="G33" s="9"/>
    </row>
    <row r="34" spans="1:7" ht="43.5" x14ac:dyDescent="0.35">
      <c r="A34" s="7" t="s">
        <v>40</v>
      </c>
      <c r="B34" s="3" t="s">
        <v>107</v>
      </c>
      <c r="C34" s="3" t="s">
        <v>106</v>
      </c>
      <c r="D34" s="3"/>
      <c r="E34" s="3"/>
      <c r="G34" s="3" t="s">
        <v>42</v>
      </c>
    </row>
    <row r="35" spans="1:7" x14ac:dyDescent="0.35">
      <c r="A35" s="7"/>
      <c r="B35" s="3" t="s">
        <v>72</v>
      </c>
      <c r="C35" s="3" t="s">
        <v>98</v>
      </c>
      <c r="D35" s="3" t="s">
        <v>67</v>
      </c>
      <c r="E35" s="3"/>
      <c r="G35" s="3"/>
    </row>
    <row r="36" spans="1:7" x14ac:dyDescent="0.35">
      <c r="A36" s="7"/>
      <c r="B36" s="3" t="s">
        <v>73</v>
      </c>
      <c r="C36" s="3"/>
      <c r="D36" s="3"/>
      <c r="E36" s="3"/>
      <c r="G36" s="3"/>
    </row>
    <row r="37" spans="1:7" x14ac:dyDescent="0.35">
      <c r="A37" s="7"/>
      <c r="B37" s="3" t="s">
        <v>74</v>
      </c>
      <c r="C37" s="3"/>
      <c r="D37" s="3"/>
      <c r="E37" s="3"/>
      <c r="G37" s="3"/>
    </row>
    <row r="38" spans="1:7" x14ac:dyDescent="0.35">
      <c r="A38" s="7"/>
      <c r="B38" s="3" t="s">
        <v>75</v>
      </c>
      <c r="C38" s="3"/>
      <c r="D38" s="3"/>
      <c r="E38" s="3"/>
      <c r="G38" s="3"/>
    </row>
    <row r="39" spans="1:7" x14ac:dyDescent="0.35">
      <c r="A39" s="7"/>
      <c r="B39" s="3" t="s">
        <v>76</v>
      </c>
      <c r="C39" s="3"/>
      <c r="D39" s="3"/>
      <c r="E39" s="3"/>
      <c r="G39" s="3"/>
    </row>
    <row r="40" spans="1:7" ht="29" x14ac:dyDescent="0.35">
      <c r="A40" s="7"/>
      <c r="B40" s="3" t="s">
        <v>108</v>
      </c>
      <c r="C40" s="3"/>
      <c r="D40" s="3" t="s">
        <v>70</v>
      </c>
      <c r="E40" s="3" t="s">
        <v>82</v>
      </c>
      <c r="G40" s="3"/>
    </row>
    <row r="41" spans="1:7" x14ac:dyDescent="0.35">
      <c r="A41" s="7"/>
      <c r="B41" s="3" t="s">
        <v>77</v>
      </c>
      <c r="C41" s="3"/>
      <c r="D41" s="3"/>
      <c r="E41" s="3"/>
      <c r="G41" s="3"/>
    </row>
    <row r="42" spans="1:7" x14ac:dyDescent="0.35">
      <c r="A42" s="7"/>
      <c r="B42" s="3" t="s">
        <v>78</v>
      </c>
      <c r="C42" s="3"/>
      <c r="D42" s="3"/>
      <c r="E42" s="3"/>
      <c r="G42" s="3"/>
    </row>
    <row r="43" spans="1:7" x14ac:dyDescent="0.35">
      <c r="A43" s="7"/>
      <c r="B43" s="3" t="s">
        <v>79</v>
      </c>
      <c r="C43" s="3"/>
      <c r="D43" s="3"/>
      <c r="E43" s="3"/>
      <c r="G43" s="3"/>
    </row>
    <row r="44" spans="1:7" x14ac:dyDescent="0.35">
      <c r="A44" s="7"/>
      <c r="B44" s="3" t="s">
        <v>80</v>
      </c>
      <c r="C44" s="3"/>
      <c r="D44" s="3" t="s">
        <v>83</v>
      </c>
      <c r="E44" s="3"/>
      <c r="G44" s="3"/>
    </row>
    <row r="45" spans="1:7" ht="15" thickBot="1" x14ac:dyDescent="0.4">
      <c r="A45" s="8"/>
      <c r="B45" s="9" t="s">
        <v>81</v>
      </c>
      <c r="C45" s="9"/>
      <c r="D45" s="9" t="s">
        <v>84</v>
      </c>
      <c r="E45" s="9"/>
      <c r="F45" s="11" t="s">
        <v>41</v>
      </c>
      <c r="G45" s="9"/>
    </row>
    <row r="46" spans="1:7" ht="29" x14ac:dyDescent="0.35">
      <c r="A46" s="7" t="s">
        <v>43</v>
      </c>
      <c r="B46" s="3" t="s">
        <v>97</v>
      </c>
      <c r="C46" s="3" t="s">
        <v>96</v>
      </c>
      <c r="D46" s="3"/>
      <c r="E46" s="3"/>
    </row>
    <row r="47" spans="1:7" x14ac:dyDescent="0.35">
      <c r="A47" s="7"/>
      <c r="B47" t="s">
        <v>85</v>
      </c>
    </row>
    <row r="48" spans="1:7" x14ac:dyDescent="0.35">
      <c r="A48" s="7"/>
      <c r="B48" t="s">
        <v>86</v>
      </c>
    </row>
    <row r="49" spans="1:7" x14ac:dyDescent="0.35">
      <c r="A49" s="7"/>
      <c r="B49" t="s">
        <v>87</v>
      </c>
      <c r="D49" s="3" t="s">
        <v>52</v>
      </c>
      <c r="E49" t="s">
        <v>89</v>
      </c>
    </row>
    <row r="50" spans="1:7" ht="15" thickBot="1" x14ac:dyDescent="0.4">
      <c r="A50" s="8"/>
      <c r="B50" s="11" t="s">
        <v>88</v>
      </c>
      <c r="C50" s="11"/>
      <c r="D50" s="9" t="s">
        <v>90</v>
      </c>
      <c r="E50" s="11"/>
      <c r="F50" s="11" t="s">
        <v>44</v>
      </c>
      <c r="G50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7E81-BCCF-4BF4-9452-59C0E60A7859}">
  <dimension ref="A1"/>
  <sheetViews>
    <sheetView zoomScale="25" zoomScaleNormal="25" workbookViewId="0">
      <selection activeCell="DJ174" sqref="DJ17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0CE8F-93AD-4554-A2CD-87C75BDC0A2E}">
  <dimension ref="A1"/>
  <sheetViews>
    <sheetView tabSelected="1" zoomScale="25" zoomScaleNormal="25" workbookViewId="0">
      <selection activeCell="BA64" sqref="BA6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05530-D321-43BD-9B45-A281688DB1E3}">
  <dimension ref="A1:L19"/>
  <sheetViews>
    <sheetView workbookViewId="0">
      <selection activeCell="D4" sqref="D4"/>
    </sheetView>
  </sheetViews>
  <sheetFormatPr defaultColWidth="8.81640625" defaultRowHeight="14.5" x14ac:dyDescent="0.35"/>
  <cols>
    <col min="1" max="1" width="8" customWidth="1"/>
    <col min="2" max="2" width="28" customWidth="1"/>
    <col min="3" max="3" width="14" customWidth="1"/>
    <col min="4" max="4" width="28" customWidth="1"/>
    <col min="5" max="5" width="12" customWidth="1"/>
    <col min="6" max="6" width="8" customWidth="1"/>
    <col min="7" max="7" width="10" hidden="1" customWidth="1"/>
    <col min="8" max="8" width="18" hidden="1" customWidth="1"/>
    <col min="9" max="10" width="12" hidden="1" customWidth="1"/>
    <col min="11" max="11" width="28" hidden="1" customWidth="1"/>
    <col min="12" max="12" width="24" hidden="1" customWidth="1"/>
  </cols>
  <sheetData>
    <row r="1" spans="1:12" ht="37.25" customHeight="1" x14ac:dyDescent="0.35">
      <c r="A1" s="12" t="s">
        <v>109</v>
      </c>
      <c r="B1" s="12" t="s">
        <v>110</v>
      </c>
      <c r="C1" s="12" t="s">
        <v>111</v>
      </c>
      <c r="D1" s="12" t="s">
        <v>112</v>
      </c>
      <c r="E1" s="12" t="s">
        <v>113</v>
      </c>
      <c r="F1" s="12" t="s">
        <v>114</v>
      </c>
      <c r="G1" s="12" t="s">
        <v>115</v>
      </c>
      <c r="H1" s="12" t="s">
        <v>116</v>
      </c>
      <c r="I1" s="12" t="s">
        <v>117</v>
      </c>
      <c r="J1" s="12" t="s">
        <v>118</v>
      </c>
      <c r="K1" s="12" t="s">
        <v>119</v>
      </c>
      <c r="L1" s="12" t="s">
        <v>120</v>
      </c>
    </row>
    <row r="2" spans="1:12" ht="56" customHeight="1" x14ac:dyDescent="0.35">
      <c r="A2" s="13">
        <v>1</v>
      </c>
      <c r="B2" s="13" t="s">
        <v>121</v>
      </c>
      <c r="C2" s="13" t="s">
        <v>122</v>
      </c>
      <c r="D2" s="13" t="s">
        <v>123</v>
      </c>
      <c r="E2" s="14">
        <v>2</v>
      </c>
      <c r="F2" s="13" t="s">
        <v>124</v>
      </c>
      <c r="G2" s="13" t="s">
        <v>125</v>
      </c>
      <c r="H2" s="13" t="s">
        <v>126</v>
      </c>
      <c r="I2" s="15">
        <v>0.41</v>
      </c>
      <c r="J2" s="16">
        <f t="shared" ref="J2:J18" si="0">IFERROR(E2*I2,"")</f>
        <v>0.82</v>
      </c>
      <c r="K2" s="13"/>
      <c r="L2" s="13" t="s">
        <v>126</v>
      </c>
    </row>
    <row r="3" spans="1:12" ht="56" customHeight="1" x14ac:dyDescent="0.35">
      <c r="A3" s="13">
        <v>2</v>
      </c>
      <c r="B3" s="13" t="s">
        <v>127</v>
      </c>
      <c r="C3" s="13" t="s">
        <v>122</v>
      </c>
      <c r="D3" s="13" t="s">
        <v>128</v>
      </c>
      <c r="E3" s="14">
        <v>1</v>
      </c>
      <c r="F3" s="13" t="s">
        <v>124</v>
      </c>
      <c r="G3" s="13" t="s">
        <v>125</v>
      </c>
      <c r="H3" s="13"/>
      <c r="I3" s="15">
        <v>0.37</v>
      </c>
      <c r="J3" s="16">
        <f t="shared" si="0"/>
        <v>0.37</v>
      </c>
      <c r="K3" s="13"/>
      <c r="L3" s="13" t="s">
        <v>126</v>
      </c>
    </row>
    <row r="4" spans="1:12" ht="56" customHeight="1" x14ac:dyDescent="0.35">
      <c r="A4" s="13">
        <v>3</v>
      </c>
      <c r="B4" s="13" t="s">
        <v>129</v>
      </c>
      <c r="C4" s="13" t="s">
        <v>130</v>
      </c>
      <c r="D4" s="13" t="s">
        <v>131</v>
      </c>
      <c r="E4" s="17">
        <v>2.2999999999999998</v>
      </c>
      <c r="F4" s="13" t="s">
        <v>132</v>
      </c>
      <c r="G4" s="13" t="s">
        <v>125</v>
      </c>
      <c r="H4" s="13"/>
      <c r="I4" s="16">
        <v>1.4999999999999999E-2</v>
      </c>
      <c r="J4" s="16">
        <f t="shared" si="0"/>
        <v>3.4499999999999996E-2</v>
      </c>
      <c r="K4" s="13"/>
      <c r="L4" s="13"/>
    </row>
    <row r="5" spans="1:12" ht="56" customHeight="1" x14ac:dyDescent="0.35">
      <c r="A5" s="13">
        <v>4</v>
      </c>
      <c r="B5" s="13" t="s">
        <v>133</v>
      </c>
      <c r="C5" s="13" t="s">
        <v>122</v>
      </c>
      <c r="D5" s="13" t="s">
        <v>134</v>
      </c>
      <c r="E5" s="17">
        <v>3.3</v>
      </c>
      <c r="F5" s="13" t="s">
        <v>132</v>
      </c>
      <c r="G5" s="13" t="s">
        <v>115</v>
      </c>
      <c r="H5" s="13" t="s">
        <v>126</v>
      </c>
      <c r="I5" s="16">
        <v>5.0000000000000001E-3</v>
      </c>
      <c r="J5" s="16">
        <f t="shared" si="0"/>
        <v>1.6500000000000001E-2</v>
      </c>
      <c r="K5" s="13"/>
      <c r="L5" s="13" t="s">
        <v>126</v>
      </c>
    </row>
    <row r="6" spans="1:12" ht="56" customHeight="1" x14ac:dyDescent="0.35">
      <c r="A6" s="13">
        <v>5</v>
      </c>
      <c r="B6" s="13" t="s">
        <v>135</v>
      </c>
      <c r="C6" s="13" t="s">
        <v>122</v>
      </c>
      <c r="D6" s="13" t="s">
        <v>136</v>
      </c>
      <c r="E6" s="18">
        <v>11.86</v>
      </c>
      <c r="F6" s="13" t="s">
        <v>132</v>
      </c>
      <c r="G6" s="13" t="s">
        <v>115</v>
      </c>
      <c r="H6" s="13" t="s">
        <v>126</v>
      </c>
      <c r="I6" s="16">
        <v>4.2000000000000003E-2</v>
      </c>
      <c r="J6" s="16">
        <f t="shared" si="0"/>
        <v>0.49812000000000001</v>
      </c>
      <c r="K6" s="13" t="s">
        <v>137</v>
      </c>
      <c r="L6" s="13"/>
    </row>
    <row r="7" spans="1:12" ht="56" customHeight="1" x14ac:dyDescent="0.35">
      <c r="A7" s="13">
        <v>6</v>
      </c>
      <c r="B7" s="13" t="s">
        <v>138</v>
      </c>
      <c r="C7" s="13" t="s">
        <v>122</v>
      </c>
      <c r="D7" s="19" t="s">
        <v>139</v>
      </c>
      <c r="E7" s="18">
        <v>10.55</v>
      </c>
      <c r="F7" s="13" t="s">
        <v>132</v>
      </c>
      <c r="G7" s="13" t="s">
        <v>115</v>
      </c>
      <c r="H7" s="13" t="s">
        <v>126</v>
      </c>
      <c r="I7" s="16">
        <v>0.18099999999999999</v>
      </c>
      <c r="J7" s="15">
        <f t="shared" si="0"/>
        <v>1.9095500000000001</v>
      </c>
      <c r="K7" s="13" t="s">
        <v>137</v>
      </c>
      <c r="L7" s="13" t="s">
        <v>126</v>
      </c>
    </row>
    <row r="8" spans="1:12" ht="56" customHeight="1" x14ac:dyDescent="0.35">
      <c r="A8" s="13">
        <v>7</v>
      </c>
      <c r="B8" s="13" t="s">
        <v>140</v>
      </c>
      <c r="C8" s="13" t="s">
        <v>122</v>
      </c>
      <c r="D8" s="19" t="s">
        <v>141</v>
      </c>
      <c r="E8" s="18">
        <v>11.86</v>
      </c>
      <c r="F8" s="13" t="s">
        <v>132</v>
      </c>
      <c r="G8" s="13" t="s">
        <v>115</v>
      </c>
      <c r="H8" s="13" t="s">
        <v>126</v>
      </c>
      <c r="I8" s="16">
        <v>0.122</v>
      </c>
      <c r="J8" s="15">
        <f t="shared" si="0"/>
        <v>1.44692</v>
      </c>
      <c r="K8" s="13" t="s">
        <v>137</v>
      </c>
      <c r="L8" s="13" t="s">
        <v>126</v>
      </c>
    </row>
    <row r="9" spans="1:12" ht="56" customHeight="1" x14ac:dyDescent="0.35">
      <c r="A9" s="13">
        <v>8</v>
      </c>
      <c r="B9" s="13" t="s">
        <v>142</v>
      </c>
      <c r="C9" s="13" t="s">
        <v>122</v>
      </c>
      <c r="D9" s="19" t="s">
        <v>178</v>
      </c>
      <c r="E9" s="17">
        <v>0.05</v>
      </c>
      <c r="F9" s="13" t="s">
        <v>132</v>
      </c>
      <c r="G9" s="13" t="s">
        <v>115</v>
      </c>
      <c r="H9" s="13" t="s">
        <v>126</v>
      </c>
      <c r="I9" s="16">
        <v>7.1999999999999995E-2</v>
      </c>
      <c r="J9" s="20">
        <f t="shared" si="0"/>
        <v>3.5999999999999999E-3</v>
      </c>
      <c r="K9" s="13" t="s">
        <v>137</v>
      </c>
      <c r="L9" s="13" t="s">
        <v>126</v>
      </c>
    </row>
    <row r="10" spans="1:12" ht="56" customHeight="1" x14ac:dyDescent="0.35">
      <c r="A10" s="13">
        <v>9</v>
      </c>
      <c r="B10" s="13" t="s">
        <v>144</v>
      </c>
      <c r="C10" s="13" t="s">
        <v>122</v>
      </c>
      <c r="D10" s="13" t="s">
        <v>145</v>
      </c>
      <c r="E10" s="14">
        <v>37</v>
      </c>
      <c r="F10" s="13" t="s">
        <v>132</v>
      </c>
      <c r="G10" s="13" t="s">
        <v>115</v>
      </c>
      <c r="H10" s="13" t="s">
        <v>126</v>
      </c>
      <c r="I10" s="16">
        <v>3.0000000000000001E-3</v>
      </c>
      <c r="J10" s="15">
        <f t="shared" si="0"/>
        <v>0.111</v>
      </c>
      <c r="K10" s="13" t="s">
        <v>137</v>
      </c>
      <c r="L10" s="13" t="s">
        <v>126</v>
      </c>
    </row>
    <row r="11" spans="1:12" ht="56" customHeight="1" x14ac:dyDescent="0.35">
      <c r="A11" s="13">
        <v>10</v>
      </c>
      <c r="B11" s="13" t="s">
        <v>146</v>
      </c>
      <c r="C11" s="13" t="s">
        <v>122</v>
      </c>
      <c r="D11" s="13" t="s">
        <v>147</v>
      </c>
      <c r="E11" s="14">
        <v>4</v>
      </c>
      <c r="F11" s="13" t="s">
        <v>132</v>
      </c>
      <c r="G11" s="13" t="s">
        <v>115</v>
      </c>
      <c r="H11" s="13" t="s">
        <v>126</v>
      </c>
      <c r="I11" s="16">
        <v>5.7000000000000002E-2</v>
      </c>
      <c r="J11" s="15">
        <f t="shared" si="0"/>
        <v>0.22800000000000001</v>
      </c>
      <c r="K11" s="13" t="s">
        <v>40</v>
      </c>
      <c r="L11" s="13" t="s">
        <v>126</v>
      </c>
    </row>
    <row r="12" spans="1:12" ht="56" customHeight="1" x14ac:dyDescent="0.35">
      <c r="A12" s="13">
        <v>11</v>
      </c>
      <c r="B12" s="21" t="s">
        <v>148</v>
      </c>
      <c r="C12" s="13" t="s">
        <v>122</v>
      </c>
      <c r="D12" s="21" t="s">
        <v>149</v>
      </c>
      <c r="E12" s="14">
        <v>2</v>
      </c>
      <c r="F12" s="13" t="s">
        <v>124</v>
      </c>
      <c r="G12" s="13" t="s">
        <v>115</v>
      </c>
      <c r="H12" s="13"/>
      <c r="I12" s="15">
        <v>0.12</v>
      </c>
      <c r="J12" s="15">
        <f t="shared" si="0"/>
        <v>0.24</v>
      </c>
      <c r="K12" s="13"/>
      <c r="L12" s="13"/>
    </row>
    <row r="13" spans="1:12" ht="56" customHeight="1" x14ac:dyDescent="0.35">
      <c r="A13" s="13">
        <v>12</v>
      </c>
      <c r="B13" s="13" t="s">
        <v>150</v>
      </c>
      <c r="C13" s="13" t="s">
        <v>122</v>
      </c>
      <c r="D13" s="13" t="s">
        <v>151</v>
      </c>
      <c r="E13" s="22">
        <v>1.5</v>
      </c>
      <c r="F13" s="13" t="s">
        <v>152</v>
      </c>
      <c r="G13" s="13" t="s">
        <v>115</v>
      </c>
      <c r="H13" s="13"/>
      <c r="I13" s="16">
        <v>0.08</v>
      </c>
      <c r="J13" s="15">
        <f t="shared" si="0"/>
        <v>0.12</v>
      </c>
      <c r="K13" s="13" t="s">
        <v>153</v>
      </c>
      <c r="L13" s="13"/>
    </row>
    <row r="14" spans="1:12" ht="56" customHeight="1" x14ac:dyDescent="0.35">
      <c r="A14" s="13">
        <v>13</v>
      </c>
      <c r="B14" s="13" t="s">
        <v>150</v>
      </c>
      <c r="C14" s="13" t="s">
        <v>122</v>
      </c>
      <c r="D14" s="13" t="s">
        <v>154</v>
      </c>
      <c r="E14" s="14">
        <v>3</v>
      </c>
      <c r="F14" s="13" t="s">
        <v>152</v>
      </c>
      <c r="G14" s="13" t="s">
        <v>115</v>
      </c>
      <c r="H14" s="13" t="s">
        <v>126</v>
      </c>
      <c r="I14" s="15">
        <v>0.08</v>
      </c>
      <c r="J14" s="15">
        <f t="shared" si="0"/>
        <v>0.24</v>
      </c>
      <c r="K14" s="13" t="s">
        <v>155</v>
      </c>
      <c r="L14" s="13" t="s">
        <v>126</v>
      </c>
    </row>
    <row r="15" spans="1:12" ht="56" customHeight="1" x14ac:dyDescent="0.35">
      <c r="A15" s="13">
        <v>14</v>
      </c>
      <c r="B15" s="13" t="s">
        <v>156</v>
      </c>
      <c r="C15" s="13" t="s">
        <v>122</v>
      </c>
      <c r="D15" s="13" t="s">
        <v>157</v>
      </c>
      <c r="E15" s="14">
        <v>3</v>
      </c>
      <c r="F15" s="13" t="s">
        <v>158</v>
      </c>
      <c r="G15" s="13" t="s">
        <v>125</v>
      </c>
      <c r="H15" s="13" t="s">
        <v>126</v>
      </c>
      <c r="I15" s="16">
        <v>3.3000000000000002E-2</v>
      </c>
      <c r="J15" s="15">
        <f t="shared" si="0"/>
        <v>9.9000000000000005E-2</v>
      </c>
      <c r="K15" s="13" t="s">
        <v>157</v>
      </c>
      <c r="L15" s="13" t="s">
        <v>126</v>
      </c>
    </row>
    <row r="16" spans="1:12" ht="56" customHeight="1" x14ac:dyDescent="0.35">
      <c r="A16" s="13">
        <v>15</v>
      </c>
      <c r="B16" s="13" t="s">
        <v>159</v>
      </c>
      <c r="C16" s="13" t="s">
        <v>122</v>
      </c>
      <c r="D16" s="13" t="s">
        <v>160</v>
      </c>
      <c r="E16" s="14">
        <v>1</v>
      </c>
      <c r="F16" s="13" t="s">
        <v>124</v>
      </c>
      <c r="G16" s="13" t="s">
        <v>125</v>
      </c>
      <c r="H16" s="13" t="s">
        <v>126</v>
      </c>
      <c r="I16" s="16">
        <v>3.0000000000000001E-3</v>
      </c>
      <c r="J16" s="16">
        <f t="shared" si="0"/>
        <v>3.0000000000000001E-3</v>
      </c>
      <c r="K16" s="13" t="s">
        <v>161</v>
      </c>
      <c r="L16" s="13" t="s">
        <v>126</v>
      </c>
    </row>
    <row r="17" spans="1:12" ht="56" customHeight="1" x14ac:dyDescent="0.35">
      <c r="A17" s="13">
        <v>16</v>
      </c>
      <c r="B17" s="13" t="s">
        <v>162</v>
      </c>
      <c r="C17" s="13" t="s">
        <v>122</v>
      </c>
      <c r="D17" s="13" t="s">
        <v>163</v>
      </c>
      <c r="E17" s="22">
        <v>0.2</v>
      </c>
      <c r="F17" s="13" t="s">
        <v>152</v>
      </c>
      <c r="G17" s="13" t="s">
        <v>125</v>
      </c>
      <c r="H17" s="13"/>
      <c r="I17" s="15">
        <v>0.08</v>
      </c>
      <c r="J17" s="16">
        <f t="shared" si="0"/>
        <v>1.6E-2</v>
      </c>
      <c r="K17" s="13" t="s">
        <v>157</v>
      </c>
      <c r="L17" s="13"/>
    </row>
    <row r="18" spans="1:12" ht="56" customHeight="1" x14ac:dyDescent="0.35">
      <c r="A18" s="13">
        <v>17</v>
      </c>
      <c r="B18" s="13" t="s">
        <v>164</v>
      </c>
      <c r="C18" s="13" t="s">
        <v>122</v>
      </c>
      <c r="D18" s="13" t="s">
        <v>163</v>
      </c>
      <c r="E18" s="22">
        <v>0.2</v>
      </c>
      <c r="F18" s="13" t="s">
        <v>152</v>
      </c>
      <c r="G18" s="13" t="s">
        <v>125</v>
      </c>
      <c r="H18" s="13"/>
      <c r="I18" s="15">
        <v>0.06</v>
      </c>
      <c r="J18" s="16">
        <f t="shared" si="0"/>
        <v>1.2E-2</v>
      </c>
      <c r="K18" s="13" t="s">
        <v>157</v>
      </c>
      <c r="L18" s="13"/>
    </row>
    <row r="19" spans="1:12" ht="26.75" customHeight="1" x14ac:dyDescent="0.35">
      <c r="A19" s="23" t="s">
        <v>165</v>
      </c>
      <c r="B19" s="24"/>
      <c r="C19" s="24"/>
      <c r="D19" s="24"/>
      <c r="E19" s="24"/>
      <c r="F19" s="24"/>
      <c r="G19" s="24"/>
      <c r="H19" s="24"/>
      <c r="I19" s="24" t="s">
        <v>126</v>
      </c>
      <c r="J19" s="25">
        <f>SUM(J2:J18)</f>
        <v>6.1681899999999992</v>
      </c>
      <c r="K19" s="24"/>
      <c r="L19" s="2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 and Targets</vt:lpstr>
      <vt:lpstr>Process Flow, CurrentDetailed</vt:lpstr>
      <vt:lpstr>Process Flow, Current</vt:lpstr>
      <vt:lpstr>Geyser Battery 2.0 Process Flow</vt:lpstr>
      <vt:lpstr>Cell BOM Current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Morten Vaalma</dc:creator>
  <cp:lastModifiedBy>Morten Vaalma</cp:lastModifiedBy>
  <dcterms:created xsi:type="dcterms:W3CDTF">2026-04-16T07:39:58Z</dcterms:created>
  <dcterms:modified xsi:type="dcterms:W3CDTF">2026-04-21T20:36:46Z</dcterms:modified>
</cp:coreProperties>
</file>